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AI Class\Assessment\Capstone Project\data\part3-20260616T123939Z-3-001\part3\"/>
    </mc:Choice>
  </mc:AlternateContent>
  <xr:revisionPtr revIDLastSave="0" documentId="13_ncr:1_{DE1A14E9-2800-4C68-B68E-B8B6F9269DB7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Original data" sheetId="1" r:id="rId1"/>
    <sheet name="Cleaned Data" sheetId="3" r:id="rId2"/>
    <sheet name="data_dictionary" sheetId="2" r:id="rId3"/>
    <sheet name="Simple_Regression_1" sheetId="9" r:id="rId4"/>
    <sheet name="Simple_Regression_2" sheetId="10" r:id="rId5"/>
    <sheet name="Multiple_Regression" sheetId="13" r:id="rId6"/>
    <sheet name="Dummy variable" sheetId="5" r:id="rId7"/>
    <sheet name="Predictions_Residuals" sheetId="14" r:id="rId8"/>
    <sheet name="Model Comparison Sheet" sheetId="15" r:id="rId9"/>
  </sheets>
  <definedNames>
    <definedName name="_xlnm._FilterDatabase" localSheetId="1" hidden="1">'Cleaned Data'!$A$1:$N$321</definedName>
    <definedName name="_xlnm._FilterDatabase" localSheetId="6" hidden="1">'Dummy variable'!$A$1:$Q$1</definedName>
    <definedName name="_xlnm._FilterDatabase" localSheetId="7" hidden="1">Predictions_Residuals!$A$1:$F$321</definedName>
  </definedNames>
  <calcPr calcId="191029"/>
</workbook>
</file>

<file path=xl/calcChain.xml><?xml version="1.0" encoding="utf-8"?>
<calcChain xmlns="http://schemas.openxmlformats.org/spreadsheetml/2006/main">
  <c r="F321" i="14" l="1"/>
  <c r="F269" i="14"/>
  <c r="F294" i="14"/>
  <c r="F307" i="14"/>
  <c r="F314" i="14"/>
  <c r="F282" i="14"/>
  <c r="F222" i="14"/>
  <c r="F106" i="14"/>
  <c r="F15" i="14"/>
  <c r="F8" i="14"/>
  <c r="F174" i="14"/>
  <c r="F217" i="14"/>
  <c r="F24" i="14"/>
  <c r="F64" i="14"/>
  <c r="F290" i="14"/>
  <c r="F203" i="14"/>
  <c r="F97" i="14"/>
  <c r="F251" i="14"/>
  <c r="F265" i="14"/>
  <c r="F262" i="14"/>
  <c r="F240" i="14"/>
  <c r="F316" i="14"/>
  <c r="F228" i="14"/>
  <c r="F124" i="14"/>
  <c r="F167" i="14"/>
  <c r="F214" i="14"/>
  <c r="F315" i="14"/>
  <c r="F182" i="14"/>
  <c r="F132" i="14"/>
  <c r="F306" i="14"/>
  <c r="F131" i="14"/>
  <c r="F202" i="14"/>
  <c r="F305" i="14"/>
  <c r="F318" i="14"/>
  <c r="F296" i="14"/>
  <c r="F176" i="14"/>
  <c r="F258" i="14"/>
  <c r="F38" i="14"/>
  <c r="F257" i="14"/>
  <c r="F173" i="14"/>
  <c r="F137" i="14"/>
  <c r="F122" i="14"/>
  <c r="F96" i="14"/>
  <c r="F11" i="14"/>
  <c r="F90" i="14"/>
  <c r="F320" i="14"/>
  <c r="F281" i="14"/>
  <c r="F79" i="14"/>
  <c r="F138" i="14"/>
  <c r="F249" i="14"/>
  <c r="F136" i="14"/>
  <c r="F93" i="14"/>
  <c r="F61" i="14"/>
  <c r="F313" i="14"/>
  <c r="F95" i="14"/>
  <c r="F69" i="14"/>
  <c r="F275" i="14"/>
  <c r="F94" i="14"/>
  <c r="F152" i="14"/>
  <c r="F248" i="14"/>
  <c r="F252" i="14"/>
  <c r="F33" i="14"/>
  <c r="F51" i="14"/>
  <c r="F211" i="14"/>
  <c r="F54" i="14"/>
  <c r="F231" i="14"/>
  <c r="F229" i="14"/>
  <c r="F139" i="14"/>
  <c r="F12" i="14"/>
  <c r="F213" i="14"/>
  <c r="F91" i="14"/>
  <c r="F41" i="14"/>
  <c r="F153" i="14"/>
  <c r="F301" i="14"/>
  <c r="F18" i="14"/>
  <c r="F278" i="14"/>
  <c r="F209" i="14"/>
  <c r="F58" i="14"/>
  <c r="F48" i="14"/>
  <c r="F260" i="14"/>
  <c r="F242" i="14"/>
  <c r="F40" i="14"/>
  <c r="F10" i="14"/>
  <c r="F104" i="14"/>
  <c r="F146" i="14"/>
  <c r="F264" i="14"/>
  <c r="F192" i="14"/>
  <c r="F206" i="14"/>
  <c r="F73" i="14"/>
  <c r="F319" i="14"/>
  <c r="F109" i="14"/>
  <c r="F80" i="14"/>
  <c r="F241" i="14"/>
  <c r="F55" i="14"/>
  <c r="F45" i="14"/>
  <c r="F246" i="14"/>
  <c r="F191" i="14"/>
  <c r="F20" i="14"/>
  <c r="F171" i="14"/>
  <c r="F98" i="14"/>
  <c r="F37" i="14"/>
  <c r="F256" i="14"/>
  <c r="F65" i="14"/>
  <c r="F3" i="14"/>
  <c r="F62" i="14"/>
  <c r="F154" i="14"/>
  <c r="F14" i="14"/>
  <c r="F151" i="14"/>
  <c r="F46" i="14"/>
  <c r="F92" i="14"/>
  <c r="F187" i="14"/>
  <c r="F2" i="14"/>
  <c r="F43" i="14"/>
  <c r="F49" i="14"/>
  <c r="F272" i="14"/>
  <c r="F247" i="14"/>
  <c r="F216" i="14"/>
  <c r="F21" i="14"/>
  <c r="F309" i="14"/>
  <c r="F234" i="14"/>
  <c r="F286" i="14"/>
  <c r="F60" i="14"/>
  <c r="F255" i="14"/>
  <c r="F300" i="14"/>
  <c r="F16" i="14"/>
  <c r="F235" i="14"/>
  <c r="F66" i="14"/>
  <c r="F220" i="14"/>
  <c r="F86" i="14"/>
  <c r="F155" i="14"/>
  <c r="F295" i="14"/>
  <c r="F204" i="14"/>
  <c r="F288" i="14"/>
  <c r="F289" i="14"/>
  <c r="F181" i="14"/>
  <c r="F233" i="14"/>
  <c r="F311" i="14"/>
  <c r="F102" i="14"/>
  <c r="F39" i="14"/>
  <c r="F143" i="14"/>
  <c r="F70" i="14"/>
  <c r="F116" i="14"/>
  <c r="F53" i="14"/>
  <c r="F120" i="14"/>
  <c r="F266" i="14"/>
  <c r="F253" i="14"/>
  <c r="F166" i="14"/>
  <c r="F158" i="14"/>
  <c r="F245" i="14"/>
  <c r="F147" i="14"/>
  <c r="F75" i="14"/>
  <c r="F105" i="14"/>
  <c r="F218" i="14"/>
  <c r="F127" i="14"/>
  <c r="F270" i="14"/>
  <c r="F156" i="14"/>
  <c r="F160" i="14"/>
  <c r="F221" i="14"/>
  <c r="F17" i="14"/>
  <c r="F27" i="14"/>
  <c r="F292" i="14"/>
  <c r="F22" i="14"/>
  <c r="F236" i="14"/>
  <c r="F215" i="14"/>
  <c r="F47" i="14"/>
  <c r="F223" i="14"/>
  <c r="F159" i="14"/>
  <c r="F128" i="14"/>
  <c r="F271" i="14"/>
  <c r="F308" i="14"/>
  <c r="F84" i="14"/>
  <c r="F208" i="14"/>
  <c r="F121" i="14"/>
  <c r="F239" i="14"/>
  <c r="F226" i="14"/>
  <c r="F200" i="14"/>
  <c r="F83" i="14"/>
  <c r="F19" i="14"/>
  <c r="F63" i="14"/>
  <c r="F28" i="14"/>
  <c r="F169" i="14"/>
  <c r="F175" i="14"/>
  <c r="F195" i="14"/>
  <c r="F186" i="14"/>
  <c r="F225" i="14"/>
  <c r="F111" i="14"/>
  <c r="F29" i="14"/>
  <c r="F148" i="14"/>
  <c r="F50" i="14"/>
  <c r="F103" i="14"/>
  <c r="F199" i="14"/>
  <c r="F280" i="14"/>
  <c r="F285" i="14"/>
  <c r="F207" i="14"/>
  <c r="F179" i="14"/>
  <c r="F312" i="14"/>
  <c r="F56" i="14"/>
  <c r="F273" i="14"/>
  <c r="F274" i="14"/>
  <c r="F23" i="14"/>
  <c r="F168" i="14"/>
  <c r="F4" i="14"/>
  <c r="F267" i="14"/>
  <c r="F201" i="14"/>
  <c r="F161" i="14"/>
  <c r="F25" i="14"/>
  <c r="F283" i="14"/>
  <c r="F297" i="14"/>
  <c r="F113" i="14"/>
  <c r="F302" i="14"/>
  <c r="F183" i="14"/>
  <c r="F178" i="14"/>
  <c r="F88" i="14"/>
  <c r="F81" i="14"/>
  <c r="F232" i="14"/>
  <c r="F189" i="14"/>
  <c r="F52" i="14"/>
  <c r="F140" i="14"/>
  <c r="F34" i="14"/>
  <c r="F107" i="14"/>
  <c r="F118" i="14"/>
  <c r="F134" i="14"/>
  <c r="F142" i="14"/>
  <c r="F243" i="14"/>
  <c r="F44" i="14"/>
  <c r="F89" i="14"/>
  <c r="F205" i="14"/>
  <c r="F68" i="14"/>
  <c r="F279" i="14"/>
  <c r="F35" i="14"/>
  <c r="F259" i="14"/>
  <c r="F74" i="14"/>
  <c r="F71" i="14"/>
  <c r="F26" i="14"/>
  <c r="F164" i="14"/>
  <c r="F177" i="14"/>
  <c r="F303" i="14"/>
  <c r="F196" i="14"/>
  <c r="F172" i="14"/>
  <c r="F130" i="14"/>
  <c r="F67" i="14"/>
  <c r="F77" i="14"/>
  <c r="F123" i="14"/>
  <c r="F117" i="14"/>
  <c r="F82" i="14"/>
  <c r="F108" i="14"/>
  <c r="F227" i="14"/>
  <c r="F157" i="14"/>
  <c r="F114" i="14"/>
  <c r="F180" i="14"/>
  <c r="F163" i="14"/>
  <c r="F110" i="14"/>
  <c r="F141" i="14"/>
  <c r="F6" i="14"/>
  <c r="F57" i="14"/>
  <c r="F254" i="14"/>
  <c r="F13" i="14"/>
  <c r="F126" i="14"/>
  <c r="F165" i="14"/>
  <c r="F36" i="14"/>
  <c r="F150" i="14"/>
  <c r="F170" i="14"/>
  <c r="F30" i="14"/>
  <c r="F100" i="14"/>
  <c r="F184" i="14"/>
  <c r="F72" i="14"/>
  <c r="F78" i="14"/>
  <c r="F42" i="14"/>
  <c r="F298" i="14"/>
  <c r="F31" i="14"/>
  <c r="F149" i="14"/>
  <c r="F293" i="14"/>
  <c r="F135" i="14"/>
  <c r="F59" i="14"/>
  <c r="F190" i="14"/>
  <c r="F7" i="14"/>
  <c r="F310" i="14"/>
  <c r="F101" i="14"/>
  <c r="F210" i="14"/>
  <c r="F244" i="14"/>
  <c r="F284" i="14"/>
  <c r="F263" i="14"/>
  <c r="F119" i="14"/>
  <c r="F198" i="14"/>
  <c r="F230" i="14"/>
  <c r="F219" i="14"/>
  <c r="F188" i="14"/>
  <c r="F250" i="14"/>
  <c r="F85" i="14"/>
  <c r="F261" i="14"/>
  <c r="F5" i="14"/>
  <c r="F197" i="14"/>
  <c r="F276" i="14"/>
  <c r="F145" i="14"/>
  <c r="F194" i="14"/>
  <c r="F125" i="14"/>
  <c r="F162" i="14"/>
  <c r="F9" i="14"/>
  <c r="F224" i="14"/>
  <c r="F304" i="14"/>
  <c r="F212" i="14"/>
  <c r="F144" i="14"/>
  <c r="F185" i="14"/>
  <c r="F32" i="14"/>
  <c r="F99" i="14"/>
  <c r="F317" i="14"/>
  <c r="F76" i="14"/>
  <c r="F299" i="14"/>
  <c r="F238" i="14"/>
  <c r="F287" i="14"/>
  <c r="F237" i="14"/>
  <c r="F133" i="14"/>
  <c r="F87" i="14"/>
  <c r="F277" i="14"/>
  <c r="F112" i="14"/>
  <c r="F115" i="14"/>
  <c r="F291" i="14"/>
  <c r="F129" i="14"/>
  <c r="F193" i="14"/>
  <c r="F268" i="14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2" i="5"/>
  <c r="F30" i="5" l="1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F2" i="5"/>
  <c r="E2" i="5"/>
  <c r="D2" i="5"/>
  <c r="L323" i="3"/>
  <c r="J328" i="3"/>
  <c r="P324" i="3" l="1"/>
</calcChain>
</file>

<file path=xl/sharedStrings.xml><?xml version="1.0" encoding="utf-8"?>
<sst xmlns="http://schemas.openxmlformats.org/spreadsheetml/2006/main" count="4043" uniqueCount="176">
  <si>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</si>
  <si>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</si>
  <si>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</si>
  <si>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</si>
  <si>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</si>
  <si>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</si>
  <si>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</si>
  <si>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</si>
  <si>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</si>
  <si>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</si>
  <si>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</si>
  <si>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</si>
  <si>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</si>
  <si>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</si>
  <si>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</si>
  <si>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</si>
  <si>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</si>
  <si>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</si>
  <si>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</si>
  <si>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</si>
  <si>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</si>
  <si>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</si>
  <si>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</si>
  <si>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</si>
  <si>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</si>
  <si>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</si>
  <si>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</si>
  <si>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</si>
  <si>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</si>
  <si>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</si>
  <si>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</si>
  <si>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</si>
  <si>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</si>
  <si>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</si>
  <si>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</si>
  <si>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</si>
  <si>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</si>
  <si>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</si>
  <si>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</si>
  <si>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</si>
  <si>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</si>
  <si>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</si>
  <si>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</si>
  <si>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</si>
  <si>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</si>
  <si>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</si>
  <si>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</si>
  <si>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</si>
  <si>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</si>
  <si>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</si>
  <si>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</si>
  <si>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</si>
  <si>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</si>
  <si>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</si>
  <si>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</si>
  <si>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</si>
  <si>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</si>
  <si>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</si>
  <si>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</si>
  <si>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</si>
  <si>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</si>
  <si>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</si>
  <si>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</si>
  <si>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</si>
  <si>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</si>
  <si>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</si>
  <si>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</si>
  <si>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</si>
  <si>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</si>
  <si>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</si>
  <si>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</si>
  <si>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</si>
  <si>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</si>
  <si>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</si>
  <si>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</si>
  <si>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</si>
  <si>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</si>
  <si>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</si>
  <si>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</si>
  <si>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</si>
  <si>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</si>
  <si>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</si>
  <si>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</si>
  <si>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</si>
  <si>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</si>
  <si>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</si>
  <si>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</si>
  <si>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</si>
  <si>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</si>
  <si>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</si>
  <si>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</si>
  <si>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</si>
  <si>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</si>
  <si>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</si>
  <si>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</si>
  <si>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</si>
  <si>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</si>
  <si>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</si>
  <si>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</si>
  <si>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</si>
  <si>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</si>
  <si>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</si>
  <si>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</si>
  <si>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</si>
  <si>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</si>
  <si>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</si>
  <si>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</si>
  <si>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</si>
  <si>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</si>
  <si>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</si>
  <si>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</si>
  <si>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</si>
  <si>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</si>
  <si>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</si>
  <si>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</si>
  <si>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</si>
  <si>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</si>
  <si>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</si>
  <si>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North_Dummy</t>
  </si>
  <si>
    <t>South_Dummy</t>
  </si>
  <si>
    <t>West_Dummy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</si>
  <si>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</si>
  <si>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</si>
  <si>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</si>
  <si>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</si>
  <si>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</si>
  <si>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</si>
  <si>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</si>
  <si>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</si>
  <si>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</si>
  <si>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</si>
  <si>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</si>
  <si>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</si>
  <si>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</si>
  <si>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</si>
  <si>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</si>
  <si>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</si>
  <si>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</si>
  <si>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</si>
  <si>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</si>
  <si>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</si>
  <si>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</si>
  <si>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</si>
  <si>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</si>
  <si>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</si>
  <si>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</si>
  <si>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Monthly Sales = 560,777.35 + 2.13 × Marketing Spend</t>
  </si>
  <si>
    <t>Monthly Sales = 446,410.58 + 35.68 × Footfall</t>
  </si>
  <si>
    <t>RESIDUAL OUTPUT</t>
  </si>
  <si>
    <t>Observation</t>
  </si>
  <si>
    <t>Predicted monthly_sales</t>
  </si>
  <si>
    <t>Residuals</t>
  </si>
  <si>
    <t>Predicted Sales</t>
  </si>
  <si>
    <t>5 largest positive residuals</t>
  </si>
  <si>
    <t>5 largest negative residuals</t>
  </si>
  <si>
    <t>Model</t>
  </si>
  <si>
    <t>Variables Used</t>
  </si>
  <si>
    <t>R-Squared</t>
  </si>
  <si>
    <t>Significant Variables</t>
  </si>
  <si>
    <t>Business Usefulness</t>
  </si>
  <si>
    <t>Limitations</t>
  </si>
  <si>
    <t>Simple Regression 1</t>
  </si>
  <si>
    <t>monthly_sales ~ marketing_spend</t>
  </si>
  <si>
    <t>marketing_spend (p &lt; 0.05)</t>
  </si>
  <si>
    <t>Shows the relationship between marketing investment and sales</t>
  </si>
  <si>
    <t>Explains only 16.7% of sales variation and ignores other business factors</t>
  </si>
  <si>
    <t>Simple Regression 2</t>
  </si>
  <si>
    <t>monthly_sales ~ footfall</t>
  </si>
  <si>
    <t>footfall (p &lt; 0.05)</t>
  </si>
  <si>
    <t>Strong predictor of sales and useful for understanding customer traffic impact</t>
  </si>
  <si>
    <t>Does not account for marketing, inventory, customer satisfaction, or regional differences</t>
  </si>
  <si>
    <t>Multiple Regression</t>
  </si>
  <si>
    <t>monthly_sales ~ marketing_spend + footfall + inventory_availability_pct + customer_rating + region dummies</t>
  </si>
  <si>
    <t>marketing_spend, footfall, inventory_availability_pct, customer_rating, South_Dummy, West_Dummy</t>
  </si>
  <si>
    <t>Provides the most comprehensive explanation of sales performance and supports business decision-making</t>
  </si>
  <si>
    <t>Cannot prove causation and may exclude external business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</si>
</sst>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5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opLeftCell="D1" workbookViewId="0">
      <selection activeCell="N1" sqref="N1:N1048576"/>
    </sheetView>
  </sheetViews>
  <sheetFormatPr defaultRowHeight="13.8"/>
  <cols>
    <col min="1" max="14" width="16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032F-B279-45A9-B83F-EAC4793CA965}">
  <dimension ref="A1:P328"/>
  <sheetViews>
    <sheetView workbookViewId="0">
      <selection activeCell="O2" sqref="O2"/>
    </sheetView>
  </sheetViews>
  <sheetFormatPr defaultRowHeight="13.8"/>
  <cols>
    <col min="1" max="1" width="9.19921875" bestFit="1" customWidth="1"/>
    <col min="4" max="4" width="9.8984375" bestFit="1" customWidth="1"/>
    <col min="10" max="10" width="20.5" customWidth="1"/>
    <col min="15" max="15" width="18.69921875" customWidth="1"/>
  </cols>
  <sheetData>
    <row r="1" spans="1:15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152</v>
      </c>
    </row>
    <row r="2" spans="1:15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5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5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5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5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5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5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5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5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5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5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5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5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5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5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4.5590445859872624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4.5590445859872624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4.5590445859872624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4.5590445859872624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4.5590445859872624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4.5590445859872624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6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  <row r="323" spans="1:16">
      <c r="L323">
        <f>AVERAGE(L2:L321)</f>
        <v>3.9245625000000004</v>
      </c>
    </row>
    <row r="324" spans="1:16">
      <c r="P324">
        <f>AVERAGE(J2:J321)</f>
        <v>4.5590445859872624</v>
      </c>
    </row>
    <row r="328" spans="1:16">
      <c r="J328">
        <f>L329</f>
        <v>0</v>
      </c>
    </row>
  </sheetData>
  <autoFilter ref="A1:N321" xr:uid="{F92A032F-B279-45A9-B83F-EAC4793CA96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.6">
      <c r="A5" s="3" t="s">
        <v>3</v>
      </c>
      <c r="B5" s="3" t="s">
        <v>107</v>
      </c>
    </row>
    <row r="6" spans="1:2" ht="27.6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.6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.6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1.4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.6">
      <c r="A14" s="3" t="s">
        <v>12</v>
      </c>
      <c r="B14" s="3" t="s">
        <v>116</v>
      </c>
    </row>
    <row r="15" spans="1:2" ht="27.6">
      <c r="A15" s="3" t="s">
        <v>13</v>
      </c>
      <c r="B15" s="3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A933-A21B-4852-AE8E-46A6B4C99D5A}">
  <dimension ref="A1:I21"/>
  <sheetViews>
    <sheetView workbookViewId="0">
      <selection activeCell="A21" sqref="A21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4" max="5" width="12.19921875" bestFit="1" customWidth="1"/>
    <col min="6" max="6" width="13.09765625" bestFit="1" customWidth="1"/>
    <col min="7" max="7" width="11.8984375" bestFit="1" customWidth="1"/>
    <col min="8" max="9" width="12" bestFit="1" customWidth="1"/>
  </cols>
  <sheetData>
    <row r="1" spans="1:9">
      <c r="A1" t="s">
        <v>121</v>
      </c>
    </row>
    <row r="2" spans="1:9" ht="14.4" thickBot="1"/>
    <row r="3" spans="1:9" ht="14.4">
      <c r="A3" s="7" t="s">
        <v>122</v>
      </c>
      <c r="B3" s="7"/>
    </row>
    <row r="4" spans="1:9">
      <c r="A4" s="4" t="s">
        <v>123</v>
      </c>
      <c r="B4" s="4">
        <v>0.40895561021322352</v>
      </c>
    </row>
    <row r="5" spans="1:9">
      <c r="A5" s="4" t="s">
        <v>124</v>
      </c>
      <c r="B5" s="4">
        <v>0.16724469112487</v>
      </c>
    </row>
    <row r="6" spans="1:9">
      <c r="A6" s="4" t="s">
        <v>125</v>
      </c>
      <c r="B6" s="4">
        <v>0.16462596373847024</v>
      </c>
    </row>
    <row r="7" spans="1:9">
      <c r="A7" s="4" t="s">
        <v>126</v>
      </c>
      <c r="B7" s="4">
        <v>94846.03383215853</v>
      </c>
    </row>
    <row r="8" spans="1:9" ht="14.4" thickBot="1">
      <c r="A8" s="5" t="s">
        <v>127</v>
      </c>
      <c r="B8" s="5">
        <v>320</v>
      </c>
    </row>
    <row r="10" spans="1:9" ht="14.4" thickBot="1">
      <c r="A10" t="s">
        <v>128</v>
      </c>
    </row>
    <row r="11" spans="1:9" ht="14.4">
      <c r="A11" s="6"/>
      <c r="B11" s="6" t="s">
        <v>133</v>
      </c>
      <c r="C11" s="6" t="s">
        <v>134</v>
      </c>
      <c r="D11" s="6" t="s">
        <v>135</v>
      </c>
      <c r="E11" s="6" t="s">
        <v>136</v>
      </c>
      <c r="F11" s="6" t="s">
        <v>137</v>
      </c>
    </row>
    <row r="12" spans="1:9">
      <c r="A12" s="4" t="s">
        <v>129</v>
      </c>
      <c r="B12" s="4">
        <v>1</v>
      </c>
      <c r="C12" s="4">
        <v>574513714277.01416</v>
      </c>
      <c r="D12" s="4">
        <v>574513714277.01416</v>
      </c>
      <c r="E12" s="4">
        <v>63.864872683367629</v>
      </c>
      <c r="F12" s="4">
        <v>2.4800615101359619E-14</v>
      </c>
    </row>
    <row r="13" spans="1:9">
      <c r="A13" s="4" t="s">
        <v>130</v>
      </c>
      <c r="B13" s="4">
        <v>318</v>
      </c>
      <c r="C13" s="4">
        <v>2860654902513.7251</v>
      </c>
      <c r="D13" s="4">
        <v>8995770133.6909599</v>
      </c>
      <c r="E13" s="4"/>
      <c r="F13" s="4"/>
    </row>
    <row r="14" spans="1:9" ht="14.4" thickBot="1">
      <c r="A14" s="5" t="s">
        <v>131</v>
      </c>
      <c r="B14" s="5">
        <v>319</v>
      </c>
      <c r="C14" s="5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138</v>
      </c>
      <c r="C16" s="6" t="s">
        <v>126</v>
      </c>
      <c r="D16" s="6" t="s">
        <v>139</v>
      </c>
      <c r="E16" s="6" t="s">
        <v>140</v>
      </c>
      <c r="F16" s="6" t="s">
        <v>141</v>
      </c>
      <c r="G16" s="6" t="s">
        <v>142</v>
      </c>
      <c r="H16" s="6" t="s">
        <v>143</v>
      </c>
      <c r="I16" s="6" t="s">
        <v>144</v>
      </c>
    </row>
    <row r="17" spans="1:9">
      <c r="A17" s="4" t="s">
        <v>132</v>
      </c>
      <c r="B17" s="4">
        <v>560777.34544943704</v>
      </c>
      <c r="C17" s="4">
        <v>15906.905953068674</v>
      </c>
      <c r="D17" s="4">
        <v>35.253703460870398</v>
      </c>
      <c r="E17" s="4">
        <v>6.952876876284135E-112</v>
      </c>
      <c r="F17" s="4">
        <v>529481.27234763221</v>
      </c>
      <c r="G17" s="4">
        <v>592073.41855124186</v>
      </c>
      <c r="H17" s="4">
        <v>529481.27234763221</v>
      </c>
      <c r="I17" s="4">
        <v>592073.41855124186</v>
      </c>
    </row>
    <row r="18" spans="1:9" ht="14.4" thickBot="1">
      <c r="A18" s="5" t="s">
        <v>145</v>
      </c>
      <c r="B18" s="5">
        <v>2.1295753275898281</v>
      </c>
      <c r="C18" s="5">
        <v>0.26647838106932348</v>
      </c>
      <c r="D18" s="5">
        <v>7.991550080138869</v>
      </c>
      <c r="E18" s="5">
        <v>2.4800615101360068E-14</v>
      </c>
      <c r="F18" s="5">
        <v>1.6052919176921738</v>
      </c>
      <c r="G18" s="5">
        <v>2.6538587374874822</v>
      </c>
      <c r="H18" s="5">
        <v>1.6052919176921738</v>
      </c>
      <c r="I18" s="5">
        <v>2.6538587374874822</v>
      </c>
    </row>
    <row r="21" spans="1:9">
      <c r="A21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C546-EBB4-420A-9456-AA4B20207BAE}">
  <dimension ref="A1:I21"/>
  <sheetViews>
    <sheetView workbookViewId="0">
      <selection activeCell="A21" sqref="A21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4" max="5" width="12.19921875" bestFit="1" customWidth="1"/>
    <col min="6" max="6" width="13.09765625" bestFit="1" customWidth="1"/>
    <col min="7" max="7" width="11.8984375" bestFit="1" customWidth="1"/>
    <col min="8" max="9" width="12" bestFit="1" customWidth="1"/>
  </cols>
  <sheetData>
    <row r="1" spans="1:9">
      <c r="A1" t="s">
        <v>121</v>
      </c>
    </row>
    <row r="2" spans="1:9" ht="14.4" thickBot="1"/>
    <row r="3" spans="1:9" ht="14.4">
      <c r="A3" s="7" t="s">
        <v>122</v>
      </c>
      <c r="B3" s="7"/>
    </row>
    <row r="4" spans="1:9">
      <c r="A4" s="4" t="s">
        <v>123</v>
      </c>
      <c r="B4" s="4">
        <v>0.85807070804410468</v>
      </c>
    </row>
    <row r="5" spans="1:9">
      <c r="A5" s="4" t="s">
        <v>124</v>
      </c>
      <c r="B5" s="4">
        <v>0.73628534000331114</v>
      </c>
    </row>
    <row r="6" spans="1:9">
      <c r="A6" s="4" t="s">
        <v>125</v>
      </c>
      <c r="B6" s="4">
        <v>0.73545604861967373</v>
      </c>
    </row>
    <row r="7" spans="1:9">
      <c r="A7" s="4" t="s">
        <v>126</v>
      </c>
      <c r="B7" s="4">
        <v>53373.736380790499</v>
      </c>
    </row>
    <row r="8" spans="1:9" ht="14.4" thickBot="1">
      <c r="A8" s="5" t="s">
        <v>127</v>
      </c>
      <c r="B8" s="5">
        <v>320</v>
      </c>
    </row>
    <row r="10" spans="1:9" ht="14.4" thickBot="1">
      <c r="A10" t="s">
        <v>128</v>
      </c>
    </row>
    <row r="11" spans="1:9" ht="14.4">
      <c r="A11" s="6"/>
      <c r="B11" s="6" t="s">
        <v>133</v>
      </c>
      <c r="C11" s="6" t="s">
        <v>134</v>
      </c>
      <c r="D11" s="6" t="s">
        <v>135</v>
      </c>
      <c r="E11" s="6" t="s">
        <v>136</v>
      </c>
      <c r="F11" s="6" t="s">
        <v>137</v>
      </c>
    </row>
    <row r="12" spans="1:9">
      <c r="A12" s="4" t="s">
        <v>129</v>
      </c>
      <c r="B12" s="4">
        <v>1</v>
      </c>
      <c r="C12" s="4">
        <v>2529264292982.4736</v>
      </c>
      <c r="D12" s="4">
        <v>2529264292982.4736</v>
      </c>
      <c r="E12" s="4">
        <v>887.84877611276033</v>
      </c>
      <c r="F12" s="4">
        <v>4.7503615090053331E-94</v>
      </c>
    </row>
    <row r="13" spans="1:9">
      <c r="A13" s="4" t="s">
        <v>130</v>
      </c>
      <c r="B13" s="4">
        <v>318</v>
      </c>
      <c r="C13" s="4">
        <v>905904323808.26587</v>
      </c>
      <c r="D13" s="4">
        <v>2848755735.246119</v>
      </c>
      <c r="E13" s="4"/>
      <c r="F13" s="4"/>
    </row>
    <row r="14" spans="1:9" ht="14.4" thickBot="1">
      <c r="A14" s="5" t="s">
        <v>131</v>
      </c>
      <c r="B14" s="5">
        <v>319</v>
      </c>
      <c r="C14" s="5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138</v>
      </c>
      <c r="C16" s="6" t="s">
        <v>126</v>
      </c>
      <c r="D16" s="6" t="s">
        <v>139</v>
      </c>
      <c r="E16" s="6" t="s">
        <v>140</v>
      </c>
      <c r="F16" s="6" t="s">
        <v>141</v>
      </c>
      <c r="G16" s="6" t="s">
        <v>142</v>
      </c>
      <c r="H16" s="6" t="s">
        <v>143</v>
      </c>
      <c r="I16" s="6" t="s">
        <v>144</v>
      </c>
    </row>
    <row r="17" spans="1:9">
      <c r="A17" s="4" t="s">
        <v>132</v>
      </c>
      <c r="B17" s="4">
        <v>446410.58293395344</v>
      </c>
      <c r="C17" s="4">
        <v>8407.7382630059928</v>
      </c>
      <c r="D17" s="4">
        <v>53.095204556754318</v>
      </c>
      <c r="E17" s="4">
        <v>4.0862695711507226E-160</v>
      </c>
      <c r="F17" s="4">
        <v>429868.76191129786</v>
      </c>
      <c r="G17" s="4">
        <v>462952.40395660902</v>
      </c>
      <c r="H17" s="4">
        <v>429868.76191129786</v>
      </c>
      <c r="I17" s="4">
        <v>462952.40395660902</v>
      </c>
    </row>
    <row r="18" spans="1:9" ht="14.4" thickBot="1">
      <c r="A18" s="5" t="s">
        <v>5</v>
      </c>
      <c r="B18" s="5">
        <v>35.678031072640458</v>
      </c>
      <c r="C18" s="5">
        <v>1.1973782890340821</v>
      </c>
      <c r="D18" s="5">
        <v>29.796791372776362</v>
      </c>
      <c r="E18" s="5">
        <v>4.7503615090054677E-94</v>
      </c>
      <c r="F18" s="5">
        <v>33.322246825554025</v>
      </c>
      <c r="G18" s="5">
        <v>38.033815319726891</v>
      </c>
      <c r="H18" s="5">
        <v>33.322246825554025</v>
      </c>
      <c r="I18" s="5">
        <v>38.033815319726891</v>
      </c>
    </row>
    <row r="21" spans="1:9">
      <c r="A21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D82F-A54B-4589-BB7D-FF81AF5168E9}">
  <dimension ref="A1:I350"/>
  <sheetViews>
    <sheetView workbookViewId="0">
      <selection activeCell="I22" sqref="I22"/>
    </sheetView>
  </sheetViews>
  <sheetFormatPr defaultRowHeight="13.8"/>
  <cols>
    <col min="1" max="1" width="21.19921875" bestFit="1" customWidth="1"/>
    <col min="2" max="2" width="21.69921875" bestFit="1" customWidth="1"/>
    <col min="3" max="3" width="13.3984375" bestFit="1" customWidth="1"/>
    <col min="4" max="5" width="12.19921875" bestFit="1" customWidth="1"/>
    <col min="6" max="6" width="13.09765625" bestFit="1" customWidth="1"/>
    <col min="7" max="7" width="11.8984375" bestFit="1" customWidth="1"/>
    <col min="8" max="8" width="12.5" bestFit="1" customWidth="1"/>
    <col min="9" max="9" width="12" bestFit="1" customWidth="1"/>
  </cols>
  <sheetData>
    <row r="1" spans="1:9">
      <c r="A1" t="s">
        <v>121</v>
      </c>
    </row>
    <row r="2" spans="1:9" ht="14.4" thickBot="1"/>
    <row r="3" spans="1:9" ht="14.4">
      <c r="A3" s="7" t="s">
        <v>122</v>
      </c>
      <c r="B3" s="7"/>
    </row>
    <row r="4" spans="1:9">
      <c r="A4" s="4" t="s">
        <v>123</v>
      </c>
      <c r="B4" s="4">
        <v>0.90241558448743497</v>
      </c>
    </row>
    <row r="5" spans="1:9">
      <c r="A5" s="4" t="s">
        <v>124</v>
      </c>
      <c r="B5" s="4">
        <v>0.81435388712579881</v>
      </c>
    </row>
    <row r="6" spans="1:9">
      <c r="A6" s="4" t="s">
        <v>125</v>
      </c>
      <c r="B6" s="4">
        <v>0.81018874997798029</v>
      </c>
    </row>
    <row r="7" spans="1:9">
      <c r="A7" s="4" t="s">
        <v>126</v>
      </c>
      <c r="B7" s="4">
        <v>45210.536721963072</v>
      </c>
    </row>
    <row r="8" spans="1:9" ht="14.4" thickBot="1">
      <c r="A8" s="5" t="s">
        <v>127</v>
      </c>
      <c r="B8" s="5">
        <v>320</v>
      </c>
    </row>
    <row r="10" spans="1:9" ht="14.4" thickBot="1">
      <c r="A10" t="s">
        <v>128</v>
      </c>
    </row>
    <row r="11" spans="1:9" ht="14.4">
      <c r="A11" s="6"/>
      <c r="B11" s="6" t="s">
        <v>133</v>
      </c>
      <c r="C11" s="6" t="s">
        <v>134</v>
      </c>
      <c r="D11" s="6" t="s">
        <v>135</v>
      </c>
      <c r="E11" s="6" t="s">
        <v>136</v>
      </c>
      <c r="F11" s="6" t="s">
        <v>137</v>
      </c>
    </row>
    <row r="12" spans="1:9">
      <c r="A12" s="4" t="s">
        <v>129</v>
      </c>
      <c r="B12" s="4">
        <v>7</v>
      </c>
      <c r="C12" s="4">
        <v>2797442916016.0923</v>
      </c>
      <c r="D12" s="4">
        <v>399634702288.01318</v>
      </c>
      <c r="E12" s="4">
        <v>195.51670406634653</v>
      </c>
      <c r="F12" s="4">
        <v>4.644530925787541E-110</v>
      </c>
    </row>
    <row r="13" spans="1:9">
      <c r="A13" s="4" t="s">
        <v>130</v>
      </c>
      <c r="B13" s="4">
        <v>312</v>
      </c>
      <c r="C13" s="4">
        <v>637725700774.64697</v>
      </c>
      <c r="D13" s="4">
        <v>2043992630.6879711</v>
      </c>
      <c r="E13" s="4"/>
      <c r="F13" s="4"/>
    </row>
    <row r="14" spans="1:9" ht="14.4" thickBot="1">
      <c r="A14" s="5" t="s">
        <v>131</v>
      </c>
      <c r="B14" s="5">
        <v>319</v>
      </c>
      <c r="C14" s="5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138</v>
      </c>
      <c r="C16" s="6" t="s">
        <v>126</v>
      </c>
      <c r="D16" s="6" t="s">
        <v>139</v>
      </c>
      <c r="E16" s="6" t="s">
        <v>140</v>
      </c>
      <c r="F16" s="6" t="s">
        <v>141</v>
      </c>
      <c r="G16" s="6" t="s">
        <v>142</v>
      </c>
      <c r="H16" s="6" t="s">
        <v>143</v>
      </c>
      <c r="I16" s="6" t="s">
        <v>144</v>
      </c>
    </row>
    <row r="17" spans="1:9">
      <c r="A17" s="4" t="s">
        <v>132</v>
      </c>
      <c r="B17" s="4">
        <v>80972.671942220244</v>
      </c>
      <c r="C17" s="4">
        <v>48783.046799738135</v>
      </c>
      <c r="D17" s="4">
        <v>1.6598526999476979</v>
      </c>
      <c r="E17" s="4">
        <v>9.7948797960411824E-2</v>
      </c>
      <c r="F17" s="4">
        <v>-15012.680072848016</v>
      </c>
      <c r="G17" s="4">
        <v>176958.0239572885</v>
      </c>
      <c r="H17" s="4">
        <v>-15012.680072848016</v>
      </c>
      <c r="I17" s="4">
        <v>176958.0239572885</v>
      </c>
    </row>
    <row r="18" spans="1:9">
      <c r="A18" s="4" t="s">
        <v>118</v>
      </c>
      <c r="B18" s="4">
        <v>8667.1228007691006</v>
      </c>
      <c r="C18" s="4">
        <v>7282.7056648333773</v>
      </c>
      <c r="D18" s="4">
        <v>1.1900965382441278</v>
      </c>
      <c r="E18" s="4">
        <v>0.23491321835101026</v>
      </c>
      <c r="F18" s="4">
        <v>-5662.3033568630999</v>
      </c>
      <c r="G18" s="4">
        <v>22996.548958401301</v>
      </c>
      <c r="H18" s="4">
        <v>-5662.3033568630999</v>
      </c>
      <c r="I18" s="4">
        <v>22996.548958401301</v>
      </c>
    </row>
    <row r="19" spans="1:9">
      <c r="A19" s="4" t="s">
        <v>119</v>
      </c>
      <c r="B19" s="4">
        <v>21972.420054366143</v>
      </c>
      <c r="C19" s="4">
        <v>7341.0343513957769</v>
      </c>
      <c r="D19" s="4">
        <v>2.9930959320723582</v>
      </c>
      <c r="E19" s="4">
        <v>2.9822326113881558E-3</v>
      </c>
      <c r="F19" s="4">
        <v>7528.2265773565359</v>
      </c>
      <c r="G19" s="4">
        <v>36416.613531375748</v>
      </c>
      <c r="H19" s="4">
        <v>7528.2265773565359</v>
      </c>
      <c r="I19" s="4">
        <v>36416.613531375748</v>
      </c>
    </row>
    <row r="20" spans="1:9">
      <c r="A20" s="4" t="s">
        <v>120</v>
      </c>
      <c r="B20" s="4">
        <v>17042.833351391255</v>
      </c>
      <c r="C20" s="4">
        <v>6518.0764386850396</v>
      </c>
      <c r="D20" s="4">
        <v>2.6147028976587894</v>
      </c>
      <c r="E20" s="4">
        <v>9.3640863783050979E-3</v>
      </c>
      <c r="F20" s="4">
        <v>4217.888980928843</v>
      </c>
      <c r="G20" s="4">
        <v>29867.777721853665</v>
      </c>
      <c r="H20" s="4">
        <v>4217.888980928843</v>
      </c>
      <c r="I20" s="4">
        <v>29867.777721853665</v>
      </c>
    </row>
    <row r="21" spans="1:9">
      <c r="A21" s="4" t="s">
        <v>4</v>
      </c>
      <c r="B21" s="4">
        <v>1.2022733755380193</v>
      </c>
      <c r="C21" s="4">
        <v>0.13108106582616147</v>
      </c>
      <c r="D21" s="4">
        <v>9.1719835199727733</v>
      </c>
      <c r="E21" s="4">
        <v>6.4895961423106692E-18</v>
      </c>
      <c r="F21" s="4">
        <v>0.94435872954460875</v>
      </c>
      <c r="G21" s="4">
        <v>1.4601880215314298</v>
      </c>
      <c r="H21" s="4">
        <v>0.94435872954460875</v>
      </c>
      <c r="I21" s="4">
        <v>1.4601880215314298</v>
      </c>
    </row>
    <row r="22" spans="1:9">
      <c r="A22" s="4" t="s">
        <v>5</v>
      </c>
      <c r="B22" s="4">
        <v>33.984256525692416</v>
      </c>
      <c r="C22" s="4">
        <v>1.0501162586163753</v>
      </c>
      <c r="D22" s="4">
        <v>32.362375353058333</v>
      </c>
      <c r="E22" s="4">
        <v>1.0011259365747106E-101</v>
      </c>
      <c r="F22" s="4">
        <v>31.918051453388891</v>
      </c>
      <c r="G22" s="4">
        <v>36.050461597995941</v>
      </c>
      <c r="H22" s="4">
        <v>31.918051453388891</v>
      </c>
      <c r="I22" s="4">
        <v>36.050461597995941</v>
      </c>
    </row>
    <row r="23" spans="1:9">
      <c r="A23" s="4" t="s">
        <v>8</v>
      </c>
      <c r="B23" s="4">
        <v>2886.7346999222027</v>
      </c>
      <c r="C23" s="4">
        <v>475.77927118864903</v>
      </c>
      <c r="D23" s="4">
        <v>6.0673822394788548</v>
      </c>
      <c r="E23" s="4">
        <v>3.7620281151327042E-9</v>
      </c>
      <c r="F23" s="4">
        <v>1950.5930724017126</v>
      </c>
      <c r="G23" s="4">
        <v>3822.8763274426929</v>
      </c>
      <c r="H23" s="4">
        <v>1950.5930724017126</v>
      </c>
      <c r="I23" s="4">
        <v>3822.8763274426929</v>
      </c>
    </row>
    <row r="24" spans="1:9" ht="14.4" thickBot="1">
      <c r="A24" s="5" t="s">
        <v>11</v>
      </c>
      <c r="B24" s="5">
        <v>11024.990508286364</v>
      </c>
      <c r="C24" s="5">
        <v>4944.7476370424101</v>
      </c>
      <c r="D24" s="5">
        <v>2.2296366402392813</v>
      </c>
      <c r="E24" s="5">
        <v>2.6483016764534229E-2</v>
      </c>
      <c r="F24" s="5">
        <v>1295.7223771752833</v>
      </c>
      <c r="G24" s="5">
        <v>20754.258639397445</v>
      </c>
      <c r="H24" s="5">
        <v>1295.7223771752833</v>
      </c>
      <c r="I24" s="5">
        <v>20754.258639397445</v>
      </c>
    </row>
    <row r="28" spans="1:9">
      <c r="A28" t="s">
        <v>148</v>
      </c>
    </row>
    <row r="29" spans="1:9" ht="14.4" thickBot="1"/>
    <row r="30" spans="1:9" ht="14.4">
      <c r="A30" s="6" t="s">
        <v>149</v>
      </c>
      <c r="B30" s="6" t="s">
        <v>150</v>
      </c>
      <c r="C30" s="6" t="s">
        <v>151</v>
      </c>
    </row>
    <row r="31" spans="1:9">
      <c r="A31" s="4">
        <v>1</v>
      </c>
      <c r="B31" s="4">
        <v>698419.4955691885</v>
      </c>
      <c r="C31" s="4">
        <v>-39586.875569188502</v>
      </c>
    </row>
    <row r="32" spans="1:9">
      <c r="A32" s="4">
        <v>2</v>
      </c>
      <c r="B32" s="4">
        <v>696600.5444254165</v>
      </c>
      <c r="C32" s="4">
        <v>-62164.544425416505</v>
      </c>
    </row>
    <row r="33" spans="1:3">
      <c r="A33" s="4">
        <v>3</v>
      </c>
      <c r="B33" s="4">
        <v>752026.14952117065</v>
      </c>
      <c r="C33" s="4">
        <v>-73304.089521170594</v>
      </c>
    </row>
    <row r="34" spans="1:3">
      <c r="A34" s="4">
        <v>4</v>
      </c>
      <c r="B34" s="4">
        <v>758177.62085925462</v>
      </c>
      <c r="C34" s="4">
        <v>-99257.320859254571</v>
      </c>
    </row>
    <row r="35" spans="1:3">
      <c r="A35" s="4">
        <v>5</v>
      </c>
      <c r="B35" s="4">
        <v>791607.895438671</v>
      </c>
      <c r="C35" s="4">
        <v>-50266.455438671052</v>
      </c>
    </row>
    <row r="36" spans="1:3">
      <c r="A36" s="4">
        <v>6</v>
      </c>
      <c r="B36" s="4">
        <v>781035.32592945604</v>
      </c>
      <c r="C36" s="4">
        <v>-19199.985929456074</v>
      </c>
    </row>
    <row r="37" spans="1:3">
      <c r="A37" s="4">
        <v>7</v>
      </c>
      <c r="B37" s="4">
        <v>788462.99726307415</v>
      </c>
      <c r="C37" s="4">
        <v>18152.542736925883</v>
      </c>
    </row>
    <row r="38" spans="1:3">
      <c r="A38" s="4">
        <v>8</v>
      </c>
      <c r="B38" s="4">
        <v>773018.2490710268</v>
      </c>
      <c r="C38" s="4">
        <v>77146.010928973206</v>
      </c>
    </row>
    <row r="39" spans="1:3">
      <c r="A39" s="4">
        <v>9</v>
      </c>
      <c r="B39" s="4">
        <v>846782.5541901649</v>
      </c>
      <c r="C39" s="4">
        <v>83799.145809835056</v>
      </c>
    </row>
    <row r="40" spans="1:3">
      <c r="A40" s="4">
        <v>10</v>
      </c>
      <c r="B40" s="4">
        <v>784689.30774352094</v>
      </c>
      <c r="C40" s="4">
        <v>-5678.3677435209975</v>
      </c>
    </row>
    <row r="41" spans="1:3">
      <c r="A41" s="4">
        <v>11</v>
      </c>
      <c r="B41" s="4">
        <v>739357.22868898872</v>
      </c>
      <c r="C41" s="4">
        <v>-16296.468688988709</v>
      </c>
    </row>
    <row r="42" spans="1:3">
      <c r="A42" s="4">
        <v>12</v>
      </c>
      <c r="B42" s="4">
        <v>841146.82915763673</v>
      </c>
      <c r="C42" s="4">
        <v>69645.11084236321</v>
      </c>
    </row>
    <row r="43" spans="1:3">
      <c r="A43" s="4">
        <v>13</v>
      </c>
      <c r="B43" s="4">
        <v>883629.93878561002</v>
      </c>
      <c r="C43" s="4">
        <v>38538.661214389955</v>
      </c>
    </row>
    <row r="44" spans="1:3">
      <c r="A44" s="4">
        <v>14</v>
      </c>
      <c r="B44" s="4">
        <v>782128.47151620244</v>
      </c>
      <c r="C44" s="4">
        <v>-55522.191516202409</v>
      </c>
    </row>
    <row r="45" spans="1:3">
      <c r="A45" s="4">
        <v>15</v>
      </c>
      <c r="B45" s="4">
        <v>759039.74309150607</v>
      </c>
      <c r="C45" s="4">
        <v>-12538.653091506101</v>
      </c>
    </row>
    <row r="46" spans="1:3">
      <c r="A46" s="4">
        <v>16</v>
      </c>
      <c r="B46" s="4">
        <v>813746.1503236196</v>
      </c>
      <c r="C46" s="4">
        <v>20270.869676380418</v>
      </c>
    </row>
    <row r="47" spans="1:3">
      <c r="A47" s="4">
        <v>17</v>
      </c>
      <c r="B47" s="4">
        <v>695407.10268213472</v>
      </c>
      <c r="C47" s="4">
        <v>-29254.5826821347</v>
      </c>
    </row>
    <row r="48" spans="1:3">
      <c r="A48" s="4">
        <v>18</v>
      </c>
      <c r="B48" s="4">
        <v>611463.78029634815</v>
      </c>
      <c r="C48" s="4">
        <v>-38308.590296348208</v>
      </c>
    </row>
    <row r="49" spans="1:3">
      <c r="A49" s="4">
        <v>19</v>
      </c>
      <c r="B49" s="4">
        <v>700565.65962070983</v>
      </c>
      <c r="C49" s="4">
        <v>-33992.45962070988</v>
      </c>
    </row>
    <row r="50" spans="1:3">
      <c r="A50" s="4">
        <v>20</v>
      </c>
      <c r="B50" s="4">
        <v>617101.66510026634</v>
      </c>
      <c r="C50" s="4">
        <v>-25481.715100266389</v>
      </c>
    </row>
    <row r="51" spans="1:3">
      <c r="A51" s="4">
        <v>21</v>
      </c>
      <c r="B51" s="4">
        <v>521959.96897770517</v>
      </c>
      <c r="C51" s="4">
        <v>-106238.14897770516</v>
      </c>
    </row>
    <row r="52" spans="1:3">
      <c r="A52" s="4">
        <v>22</v>
      </c>
      <c r="B52" s="4">
        <v>512620.23332038353</v>
      </c>
      <c r="C52" s="4">
        <v>-20715.103320383525</v>
      </c>
    </row>
    <row r="53" spans="1:3">
      <c r="A53" s="4">
        <v>23</v>
      </c>
      <c r="B53" s="4">
        <v>542206.96903217095</v>
      </c>
      <c r="C53" s="4">
        <v>13722.430967829074</v>
      </c>
    </row>
    <row r="54" spans="1:3">
      <c r="A54" s="4">
        <v>24</v>
      </c>
      <c r="B54" s="4">
        <v>570739.98095984536</v>
      </c>
      <c r="C54" s="4">
        <v>-4928.9909598453669</v>
      </c>
    </row>
    <row r="55" spans="1:3">
      <c r="A55" s="4">
        <v>25</v>
      </c>
      <c r="B55" s="4">
        <v>826883.74904843431</v>
      </c>
      <c r="C55" s="4">
        <v>-15112.6090484343</v>
      </c>
    </row>
    <row r="56" spans="1:3">
      <c r="A56" s="4">
        <v>26</v>
      </c>
      <c r="B56" s="4">
        <v>900517.54663962126</v>
      </c>
      <c r="C56" s="4">
        <v>-100065.60663962131</v>
      </c>
    </row>
    <row r="57" spans="1:3">
      <c r="A57" s="4">
        <v>27</v>
      </c>
      <c r="B57" s="4">
        <v>790420.01043457387</v>
      </c>
      <c r="C57" s="4">
        <v>-6747.1904345739167</v>
      </c>
    </row>
    <row r="58" spans="1:3">
      <c r="A58" s="4">
        <v>28</v>
      </c>
      <c r="B58" s="4">
        <v>690717.27801162109</v>
      </c>
      <c r="C58" s="4">
        <v>10924.69198837888</v>
      </c>
    </row>
    <row r="59" spans="1:3">
      <c r="A59" s="4">
        <v>29</v>
      </c>
      <c r="B59" s="4">
        <v>584041.00126130076</v>
      </c>
      <c r="C59" s="4">
        <v>-72196.591261300782</v>
      </c>
    </row>
    <row r="60" spans="1:3">
      <c r="A60" s="4">
        <v>30</v>
      </c>
      <c r="B60" s="4">
        <v>524917.5022900597</v>
      </c>
      <c r="C60" s="4">
        <v>12466.287709940341</v>
      </c>
    </row>
    <row r="61" spans="1:3">
      <c r="A61" s="4">
        <v>31</v>
      </c>
      <c r="B61" s="4">
        <v>512684.52429086546</v>
      </c>
      <c r="C61" s="4">
        <v>-12511.504290865443</v>
      </c>
    </row>
    <row r="62" spans="1:3">
      <c r="A62" s="4">
        <v>32</v>
      </c>
      <c r="B62" s="4">
        <v>497117.1391637483</v>
      </c>
      <c r="C62" s="4">
        <v>-69199.759163748298</v>
      </c>
    </row>
    <row r="63" spans="1:3">
      <c r="A63" s="4">
        <v>33</v>
      </c>
      <c r="B63" s="4">
        <v>762488.82753321633</v>
      </c>
      <c r="C63" s="4">
        <v>-120623.7975332163</v>
      </c>
    </row>
    <row r="64" spans="1:3">
      <c r="A64" s="4">
        <v>34</v>
      </c>
      <c r="B64" s="4">
        <v>863504.06994244223</v>
      </c>
      <c r="C64" s="4">
        <v>-64026.309942442225</v>
      </c>
    </row>
    <row r="65" spans="1:3">
      <c r="A65" s="4">
        <v>35</v>
      </c>
      <c r="B65" s="4">
        <v>804678.59399057517</v>
      </c>
      <c r="C65" s="4">
        <v>-5726.423990575131</v>
      </c>
    </row>
    <row r="66" spans="1:3">
      <c r="A66" s="4">
        <v>36</v>
      </c>
      <c r="B66" s="4">
        <v>833453.76864704222</v>
      </c>
      <c r="C66" s="4">
        <v>-32473.988647042192</v>
      </c>
    </row>
    <row r="67" spans="1:3">
      <c r="A67" s="4">
        <v>37</v>
      </c>
      <c r="B67" s="4">
        <v>766680.22829660459</v>
      </c>
      <c r="C67" s="4">
        <v>53913.701703395462</v>
      </c>
    </row>
    <row r="68" spans="1:3">
      <c r="A68" s="4">
        <v>38</v>
      </c>
      <c r="B68" s="4">
        <v>750521.73433770752</v>
      </c>
      <c r="C68" s="4">
        <v>-32191.204337707488</v>
      </c>
    </row>
    <row r="69" spans="1:3">
      <c r="A69" s="4">
        <v>39</v>
      </c>
      <c r="B69" s="4">
        <v>742308.81391916494</v>
      </c>
      <c r="C69" s="4">
        <v>-5675.4139191649156</v>
      </c>
    </row>
    <row r="70" spans="1:3">
      <c r="A70" s="4">
        <v>40</v>
      </c>
      <c r="B70" s="4">
        <v>819644.09893284494</v>
      </c>
      <c r="C70" s="4">
        <v>8979.7510671550408</v>
      </c>
    </row>
    <row r="71" spans="1:3">
      <c r="A71" s="4">
        <v>41</v>
      </c>
      <c r="B71" s="4">
        <v>577329.66795330064</v>
      </c>
      <c r="C71" s="4">
        <v>14866.182046699338</v>
      </c>
    </row>
    <row r="72" spans="1:3">
      <c r="A72" s="4">
        <v>42</v>
      </c>
      <c r="B72" s="4">
        <v>512263.13526173431</v>
      </c>
      <c r="C72" s="4">
        <v>20381.324738265655</v>
      </c>
    </row>
    <row r="73" spans="1:3">
      <c r="A73" s="4">
        <v>43</v>
      </c>
      <c r="B73" s="4">
        <v>575717.55024895503</v>
      </c>
      <c r="C73" s="4">
        <v>81711.629751045024</v>
      </c>
    </row>
    <row r="74" spans="1:3">
      <c r="A74" s="4">
        <v>44</v>
      </c>
      <c r="B74" s="4">
        <v>582509.6704666944</v>
      </c>
      <c r="C74" s="4">
        <v>22668.329533305601</v>
      </c>
    </row>
    <row r="75" spans="1:3">
      <c r="A75" s="4">
        <v>45</v>
      </c>
      <c r="B75" s="4">
        <v>729696.75799770677</v>
      </c>
      <c r="C75" s="4">
        <v>-134229.15799770679</v>
      </c>
    </row>
    <row r="76" spans="1:3">
      <c r="A76" s="4">
        <v>46</v>
      </c>
      <c r="B76" s="4">
        <v>649305.70495242416</v>
      </c>
      <c r="C76" s="4">
        <v>-49702.304952424136</v>
      </c>
    </row>
    <row r="77" spans="1:3">
      <c r="A77" s="4">
        <v>47</v>
      </c>
      <c r="B77" s="4">
        <v>585141.91897653323</v>
      </c>
      <c r="C77" s="4">
        <v>29658.171023466741</v>
      </c>
    </row>
    <row r="78" spans="1:3">
      <c r="A78" s="4">
        <v>48</v>
      </c>
      <c r="B78" s="4">
        <v>577490.79175593844</v>
      </c>
      <c r="C78" s="4">
        <v>7874.9382440615445</v>
      </c>
    </row>
    <row r="79" spans="1:3">
      <c r="A79" s="4">
        <v>49</v>
      </c>
      <c r="B79" s="4">
        <v>651847.03571625298</v>
      </c>
      <c r="C79" s="4">
        <v>-29035.295716252993</v>
      </c>
    </row>
    <row r="80" spans="1:3">
      <c r="A80" s="4">
        <v>50</v>
      </c>
      <c r="B80" s="4">
        <v>593996.75495918095</v>
      </c>
      <c r="C80" s="4">
        <v>9300.8150408189977</v>
      </c>
    </row>
    <row r="81" spans="1:3">
      <c r="A81" s="4">
        <v>51</v>
      </c>
      <c r="B81" s="4">
        <v>604419.83942831261</v>
      </c>
      <c r="C81" s="4">
        <v>21253.020571687375</v>
      </c>
    </row>
    <row r="82" spans="1:3">
      <c r="A82" s="4">
        <v>52</v>
      </c>
      <c r="B82" s="4">
        <v>733678.080444113</v>
      </c>
      <c r="C82" s="4">
        <v>40137.059555887012</v>
      </c>
    </row>
    <row r="83" spans="1:3">
      <c r="A83" s="4">
        <v>53</v>
      </c>
      <c r="B83" s="4">
        <v>559538.15667701629</v>
      </c>
      <c r="C83" s="4">
        <v>-96003.90667701629</v>
      </c>
    </row>
    <row r="84" spans="1:3">
      <c r="A84" s="4">
        <v>54</v>
      </c>
      <c r="B84" s="4">
        <v>726027.50986362586</v>
      </c>
      <c r="C84" s="4">
        <v>20650.240136374137</v>
      </c>
    </row>
    <row r="85" spans="1:3">
      <c r="A85" s="4">
        <v>55</v>
      </c>
      <c r="B85" s="4">
        <v>684531.9649316133</v>
      </c>
      <c r="C85" s="4">
        <v>36320.5350683867</v>
      </c>
    </row>
    <row r="86" spans="1:3">
      <c r="A86" s="4">
        <v>56</v>
      </c>
      <c r="B86" s="4">
        <v>531733.84090468229</v>
      </c>
      <c r="C86" s="4">
        <v>-44268.930904682318</v>
      </c>
    </row>
    <row r="87" spans="1:3">
      <c r="A87" s="4">
        <v>57</v>
      </c>
      <c r="B87" s="4">
        <v>497319.24634564022</v>
      </c>
      <c r="C87" s="4">
        <v>20730.013654359791</v>
      </c>
    </row>
    <row r="88" spans="1:3">
      <c r="A88" s="4">
        <v>58</v>
      </c>
      <c r="B88" s="4">
        <v>498049.24659881502</v>
      </c>
      <c r="C88" s="4">
        <v>2249.2334011849598</v>
      </c>
    </row>
    <row r="89" spans="1:3">
      <c r="A89" s="4">
        <v>59</v>
      </c>
      <c r="B89" s="4">
        <v>646232.31880391273</v>
      </c>
      <c r="C89" s="4">
        <v>-28941.168803912704</v>
      </c>
    </row>
    <row r="90" spans="1:3">
      <c r="A90" s="4">
        <v>60</v>
      </c>
      <c r="B90" s="4">
        <v>583326.85179826501</v>
      </c>
      <c r="C90" s="4">
        <v>-29570.421798264957</v>
      </c>
    </row>
    <row r="91" spans="1:3">
      <c r="A91" s="4">
        <v>61</v>
      </c>
      <c r="B91" s="4">
        <v>690089.72928446694</v>
      </c>
      <c r="C91" s="4">
        <v>59469.98071553302</v>
      </c>
    </row>
    <row r="92" spans="1:3">
      <c r="A92" s="4">
        <v>62</v>
      </c>
      <c r="B92" s="4">
        <v>572859.12113825232</v>
      </c>
      <c r="C92" s="4">
        <v>43107.358861747663</v>
      </c>
    </row>
    <row r="93" spans="1:3">
      <c r="A93" s="4">
        <v>63</v>
      </c>
      <c r="B93" s="4">
        <v>586576.67187496996</v>
      </c>
      <c r="C93" s="4">
        <v>-14565.471874970011</v>
      </c>
    </row>
    <row r="94" spans="1:3">
      <c r="A94" s="4">
        <v>64</v>
      </c>
      <c r="B94" s="4">
        <v>719605.63179714826</v>
      </c>
      <c r="C94" s="4">
        <v>42254.55820285168</v>
      </c>
    </row>
    <row r="95" spans="1:3">
      <c r="A95" s="4">
        <v>65</v>
      </c>
      <c r="B95" s="4">
        <v>806042.09653504379</v>
      </c>
      <c r="C95" s="4">
        <v>-21539.41653504374</v>
      </c>
    </row>
    <row r="96" spans="1:3">
      <c r="A96" s="4">
        <v>66</v>
      </c>
      <c r="B96" s="4">
        <v>738367.52362082957</v>
      </c>
      <c r="C96" s="4">
        <v>-21225.973620829522</v>
      </c>
    </row>
    <row r="97" spans="1:3">
      <c r="A97" s="4">
        <v>67</v>
      </c>
      <c r="B97" s="4">
        <v>841678.33552456973</v>
      </c>
      <c r="C97" s="4">
        <v>-156299.25552456977</v>
      </c>
    </row>
    <row r="98" spans="1:3">
      <c r="A98" s="4">
        <v>68</v>
      </c>
      <c r="B98" s="4">
        <v>732953.71421449422</v>
      </c>
      <c r="C98" s="4">
        <v>7542.9357855058042</v>
      </c>
    </row>
    <row r="99" spans="1:3">
      <c r="A99" s="4">
        <v>69</v>
      </c>
      <c r="B99" s="4">
        <v>581445.21263866383</v>
      </c>
      <c r="C99" s="4">
        <v>80481.927361336187</v>
      </c>
    </row>
    <row r="100" spans="1:3">
      <c r="A100" s="4">
        <v>70</v>
      </c>
      <c r="B100" s="4">
        <v>494061.25286371383</v>
      </c>
      <c r="C100" s="4">
        <v>-15010.752863713831</v>
      </c>
    </row>
    <row r="101" spans="1:3">
      <c r="A101" s="4">
        <v>71</v>
      </c>
      <c r="B101" s="4">
        <v>583374.99444145185</v>
      </c>
      <c r="C101" s="4">
        <v>21648.875558548141</v>
      </c>
    </row>
    <row r="102" spans="1:3">
      <c r="A102" s="4">
        <v>72</v>
      </c>
      <c r="B102" s="4">
        <v>626219.05151954899</v>
      </c>
      <c r="C102" s="4">
        <v>48555.038480450981</v>
      </c>
    </row>
    <row r="103" spans="1:3">
      <c r="A103" s="4">
        <v>73</v>
      </c>
      <c r="B103" s="4">
        <v>614725.43897141085</v>
      </c>
      <c r="C103" s="4">
        <v>1343.9710285891779</v>
      </c>
    </row>
    <row r="104" spans="1:3">
      <c r="A104" s="4">
        <v>74</v>
      </c>
      <c r="B104" s="4">
        <v>699012.07386024913</v>
      </c>
      <c r="C104" s="4">
        <v>-68182.133860249189</v>
      </c>
    </row>
    <row r="105" spans="1:3">
      <c r="A105" s="4">
        <v>75</v>
      </c>
      <c r="B105" s="4">
        <v>712765.18303144304</v>
      </c>
      <c r="C105" s="4">
        <v>75322.49696855701</v>
      </c>
    </row>
    <row r="106" spans="1:3">
      <c r="A106" s="4">
        <v>76</v>
      </c>
      <c r="B106" s="4">
        <v>727606.12648460397</v>
      </c>
      <c r="C106" s="4">
        <v>-46765.766484603984</v>
      </c>
    </row>
    <row r="107" spans="1:3">
      <c r="A107" s="4">
        <v>77</v>
      </c>
      <c r="B107" s="4">
        <v>657424.80221495591</v>
      </c>
      <c r="C107" s="4">
        <v>-13767.332214955939</v>
      </c>
    </row>
    <row r="108" spans="1:3">
      <c r="A108" s="4">
        <v>78</v>
      </c>
      <c r="B108" s="4">
        <v>650030.97577684128</v>
      </c>
      <c r="C108" s="4">
        <v>41081.624223158695</v>
      </c>
    </row>
    <row r="109" spans="1:3">
      <c r="A109" s="4">
        <v>79</v>
      </c>
      <c r="B109" s="4">
        <v>731090.82588588574</v>
      </c>
      <c r="C109" s="4">
        <v>45831.344114114298</v>
      </c>
    </row>
    <row r="110" spans="1:3">
      <c r="A110" s="4">
        <v>80</v>
      </c>
      <c r="B110" s="4">
        <v>669715.74427589215</v>
      </c>
      <c r="C110" s="4">
        <v>-33154.404275892186</v>
      </c>
    </row>
    <row r="111" spans="1:3">
      <c r="A111" s="4">
        <v>81</v>
      </c>
      <c r="B111" s="4">
        <v>647977.94815806148</v>
      </c>
      <c r="C111" s="4">
        <v>-26608.368158061523</v>
      </c>
    </row>
    <row r="112" spans="1:3">
      <c r="A112" s="4">
        <v>82</v>
      </c>
      <c r="B112" s="4">
        <v>631537.70361661678</v>
      </c>
      <c r="C112" s="4">
        <v>50670.306383383228</v>
      </c>
    </row>
    <row r="113" spans="1:3">
      <c r="A113" s="4">
        <v>83</v>
      </c>
      <c r="B113" s="4">
        <v>645430.65449479641</v>
      </c>
      <c r="C113" s="4">
        <v>81811.205505203572</v>
      </c>
    </row>
    <row r="114" spans="1:3">
      <c r="A114" s="4">
        <v>84</v>
      </c>
      <c r="B114" s="4">
        <v>550455.23030369554</v>
      </c>
      <c r="C114" s="4">
        <v>18645.549696304486</v>
      </c>
    </row>
    <row r="115" spans="1:3">
      <c r="A115" s="4">
        <v>85</v>
      </c>
      <c r="B115" s="4">
        <v>570202.08905285713</v>
      </c>
      <c r="C115" s="4">
        <v>4234.2009471429046</v>
      </c>
    </row>
    <row r="116" spans="1:3">
      <c r="A116" s="4">
        <v>86</v>
      </c>
      <c r="B116" s="4">
        <v>648930.94004102505</v>
      </c>
      <c r="C116" s="4">
        <v>-37164.220041025081</v>
      </c>
    </row>
    <row r="117" spans="1:3">
      <c r="A117" s="4">
        <v>87</v>
      </c>
      <c r="B117" s="4">
        <v>623687.49165216729</v>
      </c>
      <c r="C117" s="4">
        <v>-9091.171652167337</v>
      </c>
    </row>
    <row r="118" spans="1:3">
      <c r="A118" s="4">
        <v>88</v>
      </c>
      <c r="B118" s="4">
        <v>463803.27269657992</v>
      </c>
      <c r="C118" s="4">
        <v>-13091.352696579939</v>
      </c>
    </row>
    <row r="119" spans="1:3">
      <c r="A119" s="4">
        <v>89</v>
      </c>
      <c r="B119" s="4">
        <v>676218.73339988966</v>
      </c>
      <c r="C119" s="4">
        <v>34994.726600110298</v>
      </c>
    </row>
    <row r="120" spans="1:3">
      <c r="A120" s="4">
        <v>90</v>
      </c>
      <c r="B120" s="4">
        <v>757388.57564877591</v>
      </c>
      <c r="C120" s="4">
        <v>-130216.67564877588</v>
      </c>
    </row>
    <row r="121" spans="1:3">
      <c r="A121" s="4">
        <v>91</v>
      </c>
      <c r="B121" s="4">
        <v>721988.62985185802</v>
      </c>
      <c r="C121" s="4">
        <v>17863.950148141943</v>
      </c>
    </row>
    <row r="122" spans="1:3">
      <c r="A122" s="4">
        <v>92</v>
      </c>
      <c r="B122" s="4">
        <v>558154.67205705238</v>
      </c>
      <c r="C122" s="4">
        <v>28152.547942947596</v>
      </c>
    </row>
    <row r="123" spans="1:3">
      <c r="A123" s="4">
        <v>93</v>
      </c>
      <c r="B123" s="4">
        <v>611795.49916149455</v>
      </c>
      <c r="C123" s="4">
        <v>-25858.019161494565</v>
      </c>
    </row>
    <row r="124" spans="1:3">
      <c r="A124" s="4">
        <v>94</v>
      </c>
      <c r="B124" s="4">
        <v>711228.65117565927</v>
      </c>
      <c r="C124" s="4">
        <v>42244.89882434078</v>
      </c>
    </row>
    <row r="125" spans="1:3">
      <c r="A125" s="4">
        <v>95</v>
      </c>
      <c r="B125" s="4">
        <v>791456.58583565056</v>
      </c>
      <c r="C125" s="4">
        <v>46793.734164349386</v>
      </c>
    </row>
    <row r="126" spans="1:3">
      <c r="A126" s="4">
        <v>96</v>
      </c>
      <c r="B126" s="4">
        <v>636575.59545977192</v>
      </c>
      <c r="C126" s="4">
        <v>-28677.475459771929</v>
      </c>
    </row>
    <row r="127" spans="1:3">
      <c r="A127" s="4">
        <v>97</v>
      </c>
      <c r="B127" s="4">
        <v>700011.1176007957</v>
      </c>
      <c r="C127" s="4">
        <v>-8897.4976007957011</v>
      </c>
    </row>
    <row r="128" spans="1:3">
      <c r="A128" s="4">
        <v>98</v>
      </c>
      <c r="B128" s="4">
        <v>662910.22238054208</v>
      </c>
      <c r="C128" s="4">
        <v>72599.177619457943</v>
      </c>
    </row>
    <row r="129" spans="1:3">
      <c r="A129" s="4">
        <v>99</v>
      </c>
      <c r="B129" s="4">
        <v>611088.34347887686</v>
      </c>
      <c r="C129" s="4">
        <v>-5313.0134788769064</v>
      </c>
    </row>
    <row r="130" spans="1:3">
      <c r="A130" s="4">
        <v>100</v>
      </c>
      <c r="B130" s="4">
        <v>654935.76542803145</v>
      </c>
      <c r="C130" s="4">
        <v>20241.914571968606</v>
      </c>
    </row>
    <row r="131" spans="1:3">
      <c r="A131" s="4">
        <v>101</v>
      </c>
      <c r="B131" s="4">
        <v>580923.23761296703</v>
      </c>
      <c r="C131" s="4">
        <v>54258.112387032947</v>
      </c>
    </row>
    <row r="132" spans="1:3">
      <c r="A132" s="4">
        <v>102</v>
      </c>
      <c r="B132" s="4">
        <v>618229.45960210229</v>
      </c>
      <c r="C132" s="4">
        <v>-31602.519602102344</v>
      </c>
    </row>
    <row r="133" spans="1:3">
      <c r="A133" s="4">
        <v>103</v>
      </c>
      <c r="B133" s="4">
        <v>702351.28977726528</v>
      </c>
      <c r="C133" s="4">
        <v>37751.350222734734</v>
      </c>
    </row>
    <row r="134" spans="1:3">
      <c r="A134" s="4">
        <v>104</v>
      </c>
      <c r="B134" s="4">
        <v>522797.20778957853</v>
      </c>
      <c r="C134" s="4">
        <v>102716.8322104215</v>
      </c>
    </row>
    <row r="135" spans="1:3">
      <c r="A135" s="4">
        <v>105</v>
      </c>
      <c r="B135" s="4">
        <v>687800.70698861789</v>
      </c>
      <c r="C135" s="4">
        <v>39426.493011382059</v>
      </c>
    </row>
    <row r="136" spans="1:3">
      <c r="A136" s="4">
        <v>106</v>
      </c>
      <c r="B136" s="4">
        <v>782866.13425683999</v>
      </c>
      <c r="C136" s="4">
        <v>931.75574316002894</v>
      </c>
    </row>
    <row r="137" spans="1:3">
      <c r="A137" s="4">
        <v>107</v>
      </c>
      <c r="B137" s="4">
        <v>717649.37463850901</v>
      </c>
      <c r="C137" s="4">
        <v>77504.465361490962</v>
      </c>
    </row>
    <row r="138" spans="1:3">
      <c r="A138" s="4">
        <v>108</v>
      </c>
      <c r="B138" s="4">
        <v>663288.51113310794</v>
      </c>
      <c r="C138" s="4">
        <v>2306.4288668920053</v>
      </c>
    </row>
    <row r="139" spans="1:3">
      <c r="A139" s="4">
        <v>109</v>
      </c>
      <c r="B139" s="4">
        <v>663437.97565000819</v>
      </c>
      <c r="C139" s="4">
        <v>46040.414349991828</v>
      </c>
    </row>
    <row r="140" spans="1:3">
      <c r="A140" s="4">
        <v>110</v>
      </c>
      <c r="B140" s="4">
        <v>642697.54737343977</v>
      </c>
      <c r="C140" s="4">
        <v>21464.942626560223</v>
      </c>
    </row>
    <row r="141" spans="1:3">
      <c r="A141" s="4">
        <v>111</v>
      </c>
      <c r="B141" s="4">
        <v>641413.01400759153</v>
      </c>
      <c r="C141" s="4">
        <v>-7918.8040075915633</v>
      </c>
    </row>
    <row r="142" spans="1:3">
      <c r="A142" s="4">
        <v>112</v>
      </c>
      <c r="B142" s="4">
        <v>585781.29573734524</v>
      </c>
      <c r="C142" s="4">
        <v>127829.8642626548</v>
      </c>
    </row>
    <row r="143" spans="1:3">
      <c r="A143" s="4">
        <v>113</v>
      </c>
      <c r="B143" s="4">
        <v>731293.24340944714</v>
      </c>
      <c r="C143" s="4">
        <v>47104.726590552833</v>
      </c>
    </row>
    <row r="144" spans="1:3">
      <c r="A144" s="4">
        <v>114</v>
      </c>
      <c r="B144" s="4">
        <v>827692.54337765672</v>
      </c>
      <c r="C144" s="4">
        <v>45687.476622343296</v>
      </c>
    </row>
    <row r="145" spans="1:3">
      <c r="A145" s="4">
        <v>115</v>
      </c>
      <c r="B145" s="4">
        <v>737980.20583361131</v>
      </c>
      <c r="C145" s="4">
        <v>-40692.305833611288</v>
      </c>
    </row>
    <row r="146" spans="1:3">
      <c r="A146" s="4">
        <v>116</v>
      </c>
      <c r="B146" s="4">
        <v>746989.05657774536</v>
      </c>
      <c r="C146" s="4">
        <v>-28914.266577745322</v>
      </c>
    </row>
    <row r="147" spans="1:3">
      <c r="A147" s="4">
        <v>117</v>
      </c>
      <c r="B147" s="4">
        <v>730838.1693915691</v>
      </c>
      <c r="C147" s="4">
        <v>-15895.739391569048</v>
      </c>
    </row>
    <row r="148" spans="1:3">
      <c r="A148" s="4">
        <v>118</v>
      </c>
      <c r="B148" s="4">
        <v>748192.98132729891</v>
      </c>
      <c r="C148" s="4">
        <v>72326.058672701125</v>
      </c>
    </row>
    <row r="149" spans="1:3">
      <c r="A149" s="4">
        <v>119</v>
      </c>
      <c r="B149" s="4">
        <v>768435.36242282332</v>
      </c>
      <c r="C149" s="4">
        <v>-84218.042422823375</v>
      </c>
    </row>
    <row r="150" spans="1:3">
      <c r="A150" s="4">
        <v>120</v>
      </c>
      <c r="B150" s="4">
        <v>757802.16160440596</v>
      </c>
      <c r="C150" s="4">
        <v>-22321.971604406019</v>
      </c>
    </row>
    <row r="151" spans="1:3">
      <c r="A151" s="4">
        <v>121</v>
      </c>
      <c r="B151" s="4">
        <v>561465.22185464075</v>
      </c>
      <c r="C151" s="4">
        <v>-51980.411854640755</v>
      </c>
    </row>
    <row r="152" spans="1:3">
      <c r="A152" s="4">
        <v>122</v>
      </c>
      <c r="B152" s="4">
        <v>613885.97998725472</v>
      </c>
      <c r="C152" s="4">
        <v>40431.110012745252</v>
      </c>
    </row>
    <row r="153" spans="1:3">
      <c r="A153" s="4">
        <v>123</v>
      </c>
      <c r="B153" s="4">
        <v>588528.16669985338</v>
      </c>
      <c r="C153" s="4">
        <v>-31040.906699853367</v>
      </c>
    </row>
    <row r="154" spans="1:3">
      <c r="A154" s="4">
        <v>124</v>
      </c>
      <c r="B154" s="4">
        <v>508165.91401891201</v>
      </c>
      <c r="C154" s="4">
        <v>-66890.494018912024</v>
      </c>
    </row>
    <row r="155" spans="1:3">
      <c r="A155" s="4">
        <v>125</v>
      </c>
      <c r="B155" s="4">
        <v>837476.06262199942</v>
      </c>
      <c r="C155" s="4">
        <v>77068.107378000626</v>
      </c>
    </row>
    <row r="156" spans="1:3">
      <c r="A156" s="4">
        <v>126</v>
      </c>
      <c r="B156" s="4">
        <v>865428.82324916788</v>
      </c>
      <c r="C156" s="4">
        <v>-22989.153249167837</v>
      </c>
    </row>
    <row r="157" spans="1:3">
      <c r="A157" s="4">
        <v>127</v>
      </c>
      <c r="B157" s="4">
        <v>804892.78440862731</v>
      </c>
      <c r="C157" s="4">
        <v>37265.135591372731</v>
      </c>
    </row>
    <row r="158" spans="1:3">
      <c r="A158" s="4">
        <v>128</v>
      </c>
      <c r="B158" s="4">
        <v>715998.69576427771</v>
      </c>
      <c r="C158" s="4">
        <v>-18843.395764277666</v>
      </c>
    </row>
    <row r="159" spans="1:3">
      <c r="A159" s="4">
        <v>129</v>
      </c>
      <c r="B159" s="4">
        <v>824877.38830589561</v>
      </c>
      <c r="C159" s="4">
        <v>24140.911694104434</v>
      </c>
    </row>
    <row r="160" spans="1:3">
      <c r="A160" s="4">
        <v>130</v>
      </c>
      <c r="B160" s="4">
        <v>801821.31349008053</v>
      </c>
      <c r="C160" s="4">
        <v>9.0365099194459617</v>
      </c>
    </row>
    <row r="161" spans="1:3">
      <c r="A161" s="4">
        <v>131</v>
      </c>
      <c r="B161" s="4">
        <v>789253.50474299479</v>
      </c>
      <c r="C161" s="4">
        <v>-64018.22474299476</v>
      </c>
    </row>
    <row r="162" spans="1:3">
      <c r="A162" s="4">
        <v>132</v>
      </c>
      <c r="B162" s="4">
        <v>824109.02142537863</v>
      </c>
      <c r="C162" s="4">
        <v>-12656.301425378653</v>
      </c>
    </row>
    <row r="163" spans="1:3">
      <c r="A163" s="4">
        <v>133</v>
      </c>
      <c r="B163" s="4">
        <v>579799.12608614797</v>
      </c>
      <c r="C163" s="4">
        <v>-52498.996086147963</v>
      </c>
    </row>
    <row r="164" spans="1:3">
      <c r="A164" s="4">
        <v>134</v>
      </c>
      <c r="B164" s="4">
        <v>455155.52816322853</v>
      </c>
      <c r="C164" s="4">
        <v>-54323.87816322851</v>
      </c>
    </row>
    <row r="165" spans="1:3">
      <c r="A165" s="4">
        <v>135</v>
      </c>
      <c r="B165" s="4">
        <v>599938.03486499132</v>
      </c>
      <c r="C165" s="4">
        <v>-6690.7848649913212</v>
      </c>
    </row>
    <row r="166" spans="1:3">
      <c r="A166" s="4">
        <v>136</v>
      </c>
      <c r="B166" s="4">
        <v>550894.70476492832</v>
      </c>
      <c r="C166" s="4">
        <v>-21818.754764928366</v>
      </c>
    </row>
    <row r="167" spans="1:3">
      <c r="A167" s="4">
        <v>137</v>
      </c>
      <c r="B167" s="4">
        <v>725431.78097145411</v>
      </c>
      <c r="C167" s="4">
        <v>-91793.750971454079</v>
      </c>
    </row>
    <row r="168" spans="1:3">
      <c r="A168" s="4">
        <v>138</v>
      </c>
      <c r="B168" s="4">
        <v>724230.16271262418</v>
      </c>
      <c r="C168" s="4">
        <v>19118.677287375787</v>
      </c>
    </row>
    <row r="169" spans="1:3">
      <c r="A169" s="4">
        <v>139</v>
      </c>
      <c r="B169" s="4">
        <v>705997.4391827127</v>
      </c>
      <c r="C169" s="4">
        <v>52830.200817287317</v>
      </c>
    </row>
    <row r="170" spans="1:3">
      <c r="A170" s="4">
        <v>140</v>
      </c>
      <c r="B170" s="4">
        <v>641319.99309794279</v>
      </c>
      <c r="C170" s="4">
        <v>5239.7169020571746</v>
      </c>
    </row>
    <row r="171" spans="1:3">
      <c r="A171" s="4">
        <v>141</v>
      </c>
      <c r="B171" s="4">
        <v>679810.11682996911</v>
      </c>
      <c r="C171" s="4">
        <v>36080.413170030923</v>
      </c>
    </row>
    <row r="172" spans="1:3">
      <c r="A172" s="4">
        <v>142</v>
      </c>
      <c r="B172" s="4">
        <v>699033.02592562244</v>
      </c>
      <c r="C172" s="4">
        <v>16064.544074377511</v>
      </c>
    </row>
    <row r="173" spans="1:3">
      <c r="A173" s="4">
        <v>143</v>
      </c>
      <c r="B173" s="4">
        <v>640169.24543821474</v>
      </c>
      <c r="C173" s="4">
        <v>42470.034561785287</v>
      </c>
    </row>
    <row r="174" spans="1:3">
      <c r="A174" s="4">
        <v>144</v>
      </c>
      <c r="B174" s="4">
        <v>679648.03123161907</v>
      </c>
      <c r="C174" s="4">
        <v>15450.478768380941</v>
      </c>
    </row>
    <row r="175" spans="1:3">
      <c r="A175" s="4">
        <v>145</v>
      </c>
      <c r="B175" s="4">
        <v>616589.43459087308</v>
      </c>
      <c r="C175" s="4">
        <v>-38856.864590873127</v>
      </c>
    </row>
    <row r="176" spans="1:3">
      <c r="A176" s="4">
        <v>146</v>
      </c>
      <c r="B176" s="4">
        <v>567039.53936276084</v>
      </c>
      <c r="C176" s="4">
        <v>-29981.209362760885</v>
      </c>
    </row>
    <row r="177" spans="1:3">
      <c r="A177" s="4">
        <v>147</v>
      </c>
      <c r="B177" s="4">
        <v>606494.08084648906</v>
      </c>
      <c r="C177" s="4">
        <v>-4925.2108464890625</v>
      </c>
    </row>
    <row r="178" spans="1:3">
      <c r="A178" s="4">
        <v>148</v>
      </c>
      <c r="B178" s="4">
        <v>571570.11947383208</v>
      </c>
      <c r="C178" s="4">
        <v>-605.27947383210994</v>
      </c>
    </row>
    <row r="179" spans="1:3">
      <c r="A179" s="4">
        <v>149</v>
      </c>
      <c r="B179" s="4">
        <v>642271.55290590425</v>
      </c>
      <c r="C179" s="4">
        <v>-28246.642905904213</v>
      </c>
    </row>
    <row r="180" spans="1:3">
      <c r="A180" s="4">
        <v>150</v>
      </c>
      <c r="B180" s="4">
        <v>708647.5633645741</v>
      </c>
      <c r="C180" s="4">
        <v>4220.7866354258731</v>
      </c>
    </row>
    <row r="181" spans="1:3">
      <c r="A181" s="4">
        <v>151</v>
      </c>
      <c r="B181" s="4">
        <v>663209.29841201671</v>
      </c>
      <c r="C181" s="4">
        <v>33534.851587983314</v>
      </c>
    </row>
    <row r="182" spans="1:3">
      <c r="A182" s="4">
        <v>152</v>
      </c>
      <c r="B182" s="4">
        <v>707637.03721048019</v>
      </c>
      <c r="C182" s="4">
        <v>18210.952789519797</v>
      </c>
    </row>
    <row r="183" spans="1:3">
      <c r="A183" s="4">
        <v>153</v>
      </c>
      <c r="B183" s="4">
        <v>802595.68564770767</v>
      </c>
      <c r="C183" s="4">
        <v>-17567.435647707665</v>
      </c>
    </row>
    <row r="184" spans="1:3">
      <c r="A184" s="4">
        <v>154</v>
      </c>
      <c r="B184" s="4">
        <v>684873.48793533759</v>
      </c>
      <c r="C184" s="4">
        <v>13619.182064662455</v>
      </c>
    </row>
    <row r="185" spans="1:3">
      <c r="A185" s="4">
        <v>155</v>
      </c>
      <c r="B185" s="4">
        <v>725595.45940053265</v>
      </c>
      <c r="C185" s="4">
        <v>-39765.21940053266</v>
      </c>
    </row>
    <row r="186" spans="1:3">
      <c r="A186" s="4">
        <v>156</v>
      </c>
      <c r="B186" s="4">
        <v>702353.14900081733</v>
      </c>
      <c r="C186" s="4">
        <v>-34.20900081738364</v>
      </c>
    </row>
    <row r="187" spans="1:3">
      <c r="A187" s="4">
        <v>157</v>
      </c>
      <c r="B187" s="4">
        <v>701359.40847134206</v>
      </c>
      <c r="C187" s="4">
        <v>-1281.088471342111</v>
      </c>
    </row>
    <row r="188" spans="1:3">
      <c r="A188" s="4">
        <v>158</v>
      </c>
      <c r="B188" s="4">
        <v>620985.51652147935</v>
      </c>
      <c r="C188" s="4">
        <v>-18983.196521479404</v>
      </c>
    </row>
    <row r="189" spans="1:3">
      <c r="A189" s="4">
        <v>159</v>
      </c>
      <c r="B189" s="4">
        <v>648151.22508573579</v>
      </c>
      <c r="C189" s="4">
        <v>76064.844914264162</v>
      </c>
    </row>
    <row r="190" spans="1:3">
      <c r="A190" s="4">
        <v>160</v>
      </c>
      <c r="B190" s="4">
        <v>553184.37573802308</v>
      </c>
      <c r="C190" s="4">
        <v>67788.654261976946</v>
      </c>
    </row>
    <row r="191" spans="1:3">
      <c r="A191" s="4">
        <v>161</v>
      </c>
      <c r="B191" s="4">
        <v>710318.79132626543</v>
      </c>
      <c r="C191" s="4">
        <v>-59838.731326265377</v>
      </c>
    </row>
    <row r="192" spans="1:3">
      <c r="A192" s="4">
        <v>162</v>
      </c>
      <c r="B192" s="4">
        <v>707797.5711486307</v>
      </c>
      <c r="C192" s="4">
        <v>70501.308851369307</v>
      </c>
    </row>
    <row r="193" spans="1:3">
      <c r="A193" s="4">
        <v>163</v>
      </c>
      <c r="B193" s="4">
        <v>700694.31347963831</v>
      </c>
      <c r="C193" s="4">
        <v>-23597.603479638346</v>
      </c>
    </row>
    <row r="194" spans="1:3">
      <c r="A194" s="4">
        <v>164</v>
      </c>
      <c r="B194" s="4">
        <v>707299.70532970817</v>
      </c>
      <c r="C194" s="4">
        <v>-15291.065329708159</v>
      </c>
    </row>
    <row r="195" spans="1:3">
      <c r="A195" s="4">
        <v>165</v>
      </c>
      <c r="B195" s="4">
        <v>779937.44539115881</v>
      </c>
      <c r="C195" s="4">
        <v>45860.464608841226</v>
      </c>
    </row>
    <row r="196" spans="1:3">
      <c r="A196" s="4">
        <v>166</v>
      </c>
      <c r="B196" s="4">
        <v>725624.46080403577</v>
      </c>
      <c r="C196" s="4">
        <v>-19338.940804035752</v>
      </c>
    </row>
    <row r="197" spans="1:3">
      <c r="A197" s="4">
        <v>167</v>
      </c>
      <c r="B197" s="4">
        <v>666659.77571816987</v>
      </c>
      <c r="C197" s="4">
        <v>-1125.0757181699155</v>
      </c>
    </row>
    <row r="198" spans="1:3">
      <c r="A198" s="4">
        <v>168</v>
      </c>
      <c r="B198" s="4">
        <v>807447.24637103092</v>
      </c>
      <c r="C198" s="4">
        <v>13282.043628969113</v>
      </c>
    </row>
    <row r="199" spans="1:3">
      <c r="A199" s="4">
        <v>169</v>
      </c>
      <c r="B199" s="4">
        <v>779610.23828960955</v>
      </c>
      <c r="C199" s="4">
        <v>-39778.50828960957</v>
      </c>
    </row>
    <row r="200" spans="1:3">
      <c r="A200" s="4">
        <v>170</v>
      </c>
      <c r="B200" s="4">
        <v>675812.76128939074</v>
      </c>
      <c r="C200" s="4">
        <v>-82175.621289390721</v>
      </c>
    </row>
    <row r="201" spans="1:3">
      <c r="A201" s="4">
        <v>171</v>
      </c>
      <c r="B201" s="4">
        <v>744732.30665824539</v>
      </c>
      <c r="C201" s="4">
        <v>24970.453341754619</v>
      </c>
    </row>
    <row r="202" spans="1:3">
      <c r="A202" s="4">
        <v>172</v>
      </c>
      <c r="B202" s="4">
        <v>693415.67038464674</v>
      </c>
      <c r="C202" s="4">
        <v>-13684.100384646794</v>
      </c>
    </row>
    <row r="203" spans="1:3">
      <c r="A203" s="4">
        <v>173</v>
      </c>
      <c r="B203" s="4">
        <v>765352.94057923905</v>
      </c>
      <c r="C203" s="4">
        <v>14991.239420761005</v>
      </c>
    </row>
    <row r="204" spans="1:3">
      <c r="A204" s="4">
        <v>174</v>
      </c>
      <c r="B204" s="4">
        <v>746714.68237781303</v>
      </c>
      <c r="C204" s="4">
        <v>-25350.572377813049</v>
      </c>
    </row>
    <row r="205" spans="1:3">
      <c r="A205" s="4">
        <v>175</v>
      </c>
      <c r="B205" s="4">
        <v>778591.84452959092</v>
      </c>
      <c r="C205" s="4">
        <v>-20453.554529590881</v>
      </c>
    </row>
    <row r="206" spans="1:3">
      <c r="A206" s="4">
        <v>176</v>
      </c>
      <c r="B206" s="4">
        <v>815514.81777187169</v>
      </c>
      <c r="C206" s="4">
        <v>-11250.817771871691</v>
      </c>
    </row>
    <row r="207" spans="1:3">
      <c r="A207" s="4">
        <v>177</v>
      </c>
      <c r="B207" s="4">
        <v>861157.59051556268</v>
      </c>
      <c r="C207" s="4">
        <v>26380.159484437318</v>
      </c>
    </row>
    <row r="208" spans="1:3">
      <c r="A208" s="4">
        <v>178</v>
      </c>
      <c r="B208" s="4">
        <v>709178.88147696469</v>
      </c>
      <c r="C208" s="4">
        <v>74403.118523035315</v>
      </c>
    </row>
    <row r="209" spans="1:3">
      <c r="A209" s="4">
        <v>179</v>
      </c>
      <c r="B209" s="4">
        <v>743383.80625577748</v>
      </c>
      <c r="C209" s="4">
        <v>38571.713744222536</v>
      </c>
    </row>
    <row r="210" spans="1:3">
      <c r="A210" s="4">
        <v>180</v>
      </c>
      <c r="B210" s="4">
        <v>831706.08239776618</v>
      </c>
      <c r="C210" s="4">
        <v>66324.957602233859</v>
      </c>
    </row>
    <row r="211" spans="1:3">
      <c r="A211" s="4">
        <v>181</v>
      </c>
      <c r="B211" s="4">
        <v>860492.48575059231</v>
      </c>
      <c r="C211" s="4">
        <v>-5151.2057505922858</v>
      </c>
    </row>
    <row r="212" spans="1:3">
      <c r="A212" s="4">
        <v>182</v>
      </c>
      <c r="B212" s="4">
        <v>757085.01715386845</v>
      </c>
      <c r="C212" s="4">
        <v>-5691.1371538684471</v>
      </c>
    </row>
    <row r="213" spans="1:3">
      <c r="A213" s="4">
        <v>183</v>
      </c>
      <c r="B213" s="4">
        <v>770820.74112474581</v>
      </c>
      <c r="C213" s="4">
        <v>-9743.6611247458495</v>
      </c>
    </row>
    <row r="214" spans="1:3">
      <c r="A214" s="4">
        <v>184</v>
      </c>
      <c r="B214" s="4">
        <v>826983.06724099955</v>
      </c>
      <c r="C214" s="4">
        <v>-7322.4772409995785</v>
      </c>
    </row>
    <row r="215" spans="1:3">
      <c r="A215" s="4">
        <v>185</v>
      </c>
      <c r="B215" s="4">
        <v>701890.50538354588</v>
      </c>
      <c r="C215" s="4">
        <v>-20034.945383545826</v>
      </c>
    </row>
    <row r="216" spans="1:3">
      <c r="A216" s="4">
        <v>186</v>
      </c>
      <c r="B216" s="4">
        <v>661025.60668739793</v>
      </c>
      <c r="C216" s="4">
        <v>17285.563312602113</v>
      </c>
    </row>
    <row r="217" spans="1:3">
      <c r="A217" s="4">
        <v>187</v>
      </c>
      <c r="B217" s="4">
        <v>702022.68692509516</v>
      </c>
      <c r="C217" s="4">
        <v>63884.263074904797</v>
      </c>
    </row>
    <row r="218" spans="1:3">
      <c r="A218" s="4">
        <v>188</v>
      </c>
      <c r="B218" s="4">
        <v>709231.53384761699</v>
      </c>
      <c r="C218" s="4">
        <v>3314.8461523830192</v>
      </c>
    </row>
    <row r="219" spans="1:3">
      <c r="A219" s="4">
        <v>189</v>
      </c>
      <c r="B219" s="4">
        <v>580870.96342150751</v>
      </c>
      <c r="C219" s="4">
        <v>45122.866578492452</v>
      </c>
    </row>
    <row r="220" spans="1:3">
      <c r="A220" s="4">
        <v>190</v>
      </c>
      <c r="B220" s="4">
        <v>532071.27552528051</v>
      </c>
      <c r="C220" s="4">
        <v>18891.654474719544</v>
      </c>
    </row>
    <row r="221" spans="1:3">
      <c r="A221" s="4">
        <v>191</v>
      </c>
      <c r="B221" s="4">
        <v>454066.83703697514</v>
      </c>
      <c r="C221" s="4">
        <v>-10791.24703697511</v>
      </c>
    </row>
    <row r="222" spans="1:3">
      <c r="A222" s="4">
        <v>192</v>
      </c>
      <c r="B222" s="4">
        <v>601932.73944394756</v>
      </c>
      <c r="C222" s="4">
        <v>-47920.669443947612</v>
      </c>
    </row>
    <row r="223" spans="1:3">
      <c r="A223" s="4">
        <v>193</v>
      </c>
      <c r="B223" s="4">
        <v>695302.25031029724</v>
      </c>
      <c r="C223" s="4">
        <v>-51873.400310297264</v>
      </c>
    </row>
    <row r="224" spans="1:3">
      <c r="A224" s="4">
        <v>194</v>
      </c>
      <c r="B224" s="4">
        <v>625266.77845949575</v>
      </c>
      <c r="C224" s="4">
        <v>-13342.50845949573</v>
      </c>
    </row>
    <row r="225" spans="1:3">
      <c r="A225" s="4">
        <v>195</v>
      </c>
      <c r="B225" s="4">
        <v>565717.28919757495</v>
      </c>
      <c r="C225" s="4">
        <v>-6295.2691975749331</v>
      </c>
    </row>
    <row r="226" spans="1:3">
      <c r="A226" s="4">
        <v>196</v>
      </c>
      <c r="B226" s="4">
        <v>544385.12712724356</v>
      </c>
      <c r="C226" s="4">
        <v>-94920.067127243557</v>
      </c>
    </row>
    <row r="227" spans="1:3">
      <c r="A227" s="4">
        <v>197</v>
      </c>
      <c r="B227" s="4">
        <v>649883.024252314</v>
      </c>
      <c r="C227" s="4">
        <v>41564.405747686047</v>
      </c>
    </row>
    <row r="228" spans="1:3">
      <c r="A228" s="4">
        <v>198</v>
      </c>
      <c r="B228" s="4">
        <v>615194.34359793703</v>
      </c>
      <c r="C228" s="4">
        <v>-41127.73359793704</v>
      </c>
    </row>
    <row r="229" spans="1:3">
      <c r="A229" s="4">
        <v>199</v>
      </c>
      <c r="B229" s="4">
        <v>621134.57980485016</v>
      </c>
      <c r="C229" s="4">
        <v>-42184.739804850193</v>
      </c>
    </row>
    <row r="230" spans="1:3">
      <c r="A230" s="4">
        <v>200</v>
      </c>
      <c r="B230" s="4">
        <v>665637.82892285229</v>
      </c>
      <c r="C230" s="4">
        <v>70148.811077147722</v>
      </c>
    </row>
    <row r="231" spans="1:3">
      <c r="A231" s="4">
        <v>201</v>
      </c>
      <c r="B231" s="4">
        <v>603953.1792935289</v>
      </c>
      <c r="C231" s="4">
        <v>-5048.2792935288744</v>
      </c>
    </row>
    <row r="232" spans="1:3">
      <c r="A232" s="4">
        <v>202</v>
      </c>
      <c r="B232" s="4">
        <v>687127.02448994096</v>
      </c>
      <c r="C232" s="4">
        <v>100588.48551005905</v>
      </c>
    </row>
    <row r="233" spans="1:3">
      <c r="A233" s="4">
        <v>203</v>
      </c>
      <c r="B233" s="4">
        <v>646025.12740048231</v>
      </c>
      <c r="C233" s="4">
        <v>-38940.207400482264</v>
      </c>
    </row>
    <row r="234" spans="1:3">
      <c r="A234" s="4">
        <v>204</v>
      </c>
      <c r="B234" s="4">
        <v>662612.17396253929</v>
      </c>
      <c r="C234" s="4">
        <v>-11816.683962539304</v>
      </c>
    </row>
    <row r="235" spans="1:3">
      <c r="A235" s="4">
        <v>205</v>
      </c>
      <c r="B235" s="4">
        <v>826736.55733457359</v>
      </c>
      <c r="C235" s="4">
        <v>-1676.0373345735716</v>
      </c>
    </row>
    <row r="236" spans="1:3">
      <c r="A236" s="4">
        <v>206</v>
      </c>
      <c r="B236" s="4">
        <v>726317.38249493809</v>
      </c>
      <c r="C236" s="4">
        <v>69147.087505061878</v>
      </c>
    </row>
    <row r="237" spans="1:3">
      <c r="A237" s="4">
        <v>207</v>
      </c>
      <c r="B237" s="4">
        <v>723083.68760315177</v>
      </c>
      <c r="C237" s="4">
        <v>-51215.097603151808</v>
      </c>
    </row>
    <row r="238" spans="1:3">
      <c r="A238" s="4">
        <v>208</v>
      </c>
      <c r="B238" s="4">
        <v>741959.63248955004</v>
      </c>
      <c r="C238" s="4">
        <v>-66042.002489550039</v>
      </c>
    </row>
    <row r="239" spans="1:3">
      <c r="A239" s="4">
        <v>209</v>
      </c>
      <c r="B239" s="4">
        <v>793294.54306220461</v>
      </c>
      <c r="C239" s="4">
        <v>17151.986937795416</v>
      </c>
    </row>
    <row r="240" spans="1:3">
      <c r="A240" s="4">
        <v>210</v>
      </c>
      <c r="B240" s="4">
        <v>759544.76317106478</v>
      </c>
      <c r="C240" s="4">
        <v>-68256.57317106484</v>
      </c>
    </row>
    <row r="241" spans="1:3">
      <c r="A241" s="4">
        <v>211</v>
      </c>
      <c r="B241" s="4">
        <v>953665.77508018853</v>
      </c>
      <c r="C241" s="4">
        <v>-6832.2350801884895</v>
      </c>
    </row>
    <row r="242" spans="1:3">
      <c r="A242" s="4">
        <v>212</v>
      </c>
      <c r="B242" s="4">
        <v>768134.73938146594</v>
      </c>
      <c r="C242" s="4">
        <v>-6171.5093814659631</v>
      </c>
    </row>
    <row r="243" spans="1:3">
      <c r="A243" s="4">
        <v>213</v>
      </c>
      <c r="B243" s="4">
        <v>788564.06364572677</v>
      </c>
      <c r="C243" s="4">
        <v>23588.536354273208</v>
      </c>
    </row>
    <row r="244" spans="1:3">
      <c r="A244" s="4">
        <v>214</v>
      </c>
      <c r="B244" s="4">
        <v>777151.55685579509</v>
      </c>
      <c r="C244" s="4">
        <v>27823.94314420491</v>
      </c>
    </row>
    <row r="245" spans="1:3">
      <c r="A245" s="4">
        <v>215</v>
      </c>
      <c r="B245" s="4">
        <v>774045.87450010155</v>
      </c>
      <c r="C245" s="4">
        <v>-21724.154500101577</v>
      </c>
    </row>
    <row r="246" spans="1:3">
      <c r="A246" s="4">
        <v>216</v>
      </c>
      <c r="B246" s="4">
        <v>845641.64724643528</v>
      </c>
      <c r="C246" s="4">
        <v>-8733.4072464352939</v>
      </c>
    </row>
    <row r="247" spans="1:3">
      <c r="A247" s="4">
        <v>217</v>
      </c>
      <c r="B247" s="4">
        <v>631817.57109081279</v>
      </c>
      <c r="C247" s="4">
        <v>42471.528909187182</v>
      </c>
    </row>
    <row r="248" spans="1:3">
      <c r="A248" s="4">
        <v>218</v>
      </c>
      <c r="B248" s="4">
        <v>616115.46411241626</v>
      </c>
      <c r="C248" s="4">
        <v>6776.9558875837829</v>
      </c>
    </row>
    <row r="249" spans="1:3">
      <c r="A249" s="4">
        <v>219</v>
      </c>
      <c r="B249" s="4">
        <v>614742.80793807714</v>
      </c>
      <c r="C249" s="4">
        <v>58605.752061922918</v>
      </c>
    </row>
    <row r="250" spans="1:3">
      <c r="A250" s="4">
        <v>220</v>
      </c>
      <c r="B250" s="4">
        <v>588233.08870837977</v>
      </c>
      <c r="C250" s="4">
        <v>18045.211291620275</v>
      </c>
    </row>
    <row r="251" spans="1:3">
      <c r="A251" s="4">
        <v>221</v>
      </c>
      <c r="B251" s="4">
        <v>696347.61490738508</v>
      </c>
      <c r="C251" s="4">
        <v>15872.195092614973</v>
      </c>
    </row>
    <row r="252" spans="1:3">
      <c r="A252" s="4">
        <v>222</v>
      </c>
      <c r="B252" s="4">
        <v>663155.93654894445</v>
      </c>
      <c r="C252" s="4">
        <v>9514.603451055591</v>
      </c>
    </row>
    <row r="253" spans="1:3">
      <c r="A253" s="4">
        <v>223</v>
      </c>
      <c r="B253" s="4">
        <v>726619.4183700633</v>
      </c>
      <c r="C253" s="4">
        <v>6048.5016299367417</v>
      </c>
    </row>
    <row r="254" spans="1:3">
      <c r="A254" s="4">
        <v>224</v>
      </c>
      <c r="B254" s="4">
        <v>750863.30323309242</v>
      </c>
      <c r="C254" s="4">
        <v>-27331.903233092395</v>
      </c>
    </row>
    <row r="255" spans="1:3">
      <c r="A255" s="4">
        <v>225</v>
      </c>
      <c r="B255" s="4">
        <v>594669.55083771981</v>
      </c>
      <c r="C255" s="4">
        <v>46895.049162280164</v>
      </c>
    </row>
    <row r="256" spans="1:3">
      <c r="A256" s="4">
        <v>226</v>
      </c>
      <c r="B256" s="4">
        <v>513337.577503298</v>
      </c>
      <c r="C256" s="4">
        <v>23207.912496701989</v>
      </c>
    </row>
    <row r="257" spans="1:3">
      <c r="A257" s="4">
        <v>227</v>
      </c>
      <c r="B257" s="4">
        <v>540734.53352463932</v>
      </c>
      <c r="C257" s="4">
        <v>-13052.973524639267</v>
      </c>
    </row>
    <row r="258" spans="1:3">
      <c r="A258" s="4">
        <v>228</v>
      </c>
      <c r="B258" s="4">
        <v>492457.96184019931</v>
      </c>
      <c r="C258" s="4">
        <v>37140.978159800638</v>
      </c>
    </row>
    <row r="259" spans="1:3">
      <c r="A259" s="4">
        <v>229</v>
      </c>
      <c r="B259" s="4">
        <v>618156.29071203282</v>
      </c>
      <c r="C259" s="4">
        <v>-47192.98071203276</v>
      </c>
    </row>
    <row r="260" spans="1:3">
      <c r="A260" s="4">
        <v>230</v>
      </c>
      <c r="B260" s="4">
        <v>815183.85247558157</v>
      </c>
      <c r="C260" s="4">
        <v>55753.547524418449</v>
      </c>
    </row>
    <row r="261" spans="1:3">
      <c r="A261" s="4">
        <v>231</v>
      </c>
      <c r="B261" s="4">
        <v>629921.65940505743</v>
      </c>
      <c r="C261" s="4">
        <v>-32952.389405057416</v>
      </c>
    </row>
    <row r="262" spans="1:3">
      <c r="A262" s="4">
        <v>232</v>
      </c>
      <c r="B262" s="4">
        <v>613652.10524767207</v>
      </c>
      <c r="C262" s="4">
        <v>33860.744752327912</v>
      </c>
    </row>
    <row r="263" spans="1:3">
      <c r="A263" s="4">
        <v>233</v>
      </c>
      <c r="B263" s="4">
        <v>622235.35383267829</v>
      </c>
      <c r="C263" s="4">
        <v>35836.786167321727</v>
      </c>
    </row>
    <row r="264" spans="1:3">
      <c r="A264" s="4">
        <v>234</v>
      </c>
      <c r="B264" s="4">
        <v>654563.53493091243</v>
      </c>
      <c r="C264" s="4">
        <v>68741.575069087557</v>
      </c>
    </row>
    <row r="265" spans="1:3">
      <c r="A265" s="4">
        <v>235</v>
      </c>
      <c r="B265" s="4">
        <v>643472.08772086876</v>
      </c>
      <c r="C265" s="4">
        <v>-2805.5577208687318</v>
      </c>
    </row>
    <row r="266" spans="1:3">
      <c r="A266" s="4">
        <v>236</v>
      </c>
      <c r="B266" s="4">
        <v>676665.74725247663</v>
      </c>
      <c r="C266" s="4">
        <v>-6036.2672524766531</v>
      </c>
    </row>
    <row r="267" spans="1:3">
      <c r="A267" s="4">
        <v>237</v>
      </c>
      <c r="B267" s="4">
        <v>789498.24750886695</v>
      </c>
      <c r="C267" s="4">
        <v>-68418.897508866969</v>
      </c>
    </row>
    <row r="268" spans="1:3">
      <c r="A268" s="4">
        <v>238</v>
      </c>
      <c r="B268" s="4">
        <v>820135.372928011</v>
      </c>
      <c r="C268" s="4">
        <v>-9780.3529280109797</v>
      </c>
    </row>
    <row r="269" spans="1:3">
      <c r="A269" s="4">
        <v>239</v>
      </c>
      <c r="B269" s="4">
        <v>767553.89462904609</v>
      </c>
      <c r="C269" s="4">
        <v>-5634.6446290460881</v>
      </c>
    </row>
    <row r="270" spans="1:3">
      <c r="A270" s="4">
        <v>240</v>
      </c>
      <c r="B270" s="4">
        <v>724104.4254232035</v>
      </c>
      <c r="C270" s="4">
        <v>12965.754576796549</v>
      </c>
    </row>
    <row r="271" spans="1:3">
      <c r="A271" s="4">
        <v>241</v>
      </c>
      <c r="B271" s="4">
        <v>739804.29432132246</v>
      </c>
      <c r="C271" s="4">
        <v>37188.635678677587</v>
      </c>
    </row>
    <row r="272" spans="1:3">
      <c r="A272" s="4">
        <v>242</v>
      </c>
      <c r="B272" s="4">
        <v>644752.09360046452</v>
      </c>
      <c r="C272" s="4">
        <v>31585.316399535513</v>
      </c>
    </row>
    <row r="273" spans="1:3">
      <c r="A273" s="4">
        <v>243</v>
      </c>
      <c r="B273" s="4">
        <v>813873.55225154478</v>
      </c>
      <c r="C273" s="4">
        <v>14346.117748455261</v>
      </c>
    </row>
    <row r="274" spans="1:3">
      <c r="A274" s="4">
        <v>244</v>
      </c>
      <c r="B274" s="4">
        <v>747224.53512518783</v>
      </c>
      <c r="C274" s="4">
        <v>15935.384874812211</v>
      </c>
    </row>
    <row r="275" spans="1:3">
      <c r="A275" s="4">
        <v>245</v>
      </c>
      <c r="B275" s="4">
        <v>775066.40557751432</v>
      </c>
      <c r="C275" s="4">
        <v>26935.274422485731</v>
      </c>
    </row>
    <row r="276" spans="1:3">
      <c r="A276" s="4">
        <v>246</v>
      </c>
      <c r="B276" s="4">
        <v>732541.79763386189</v>
      </c>
      <c r="C276" s="4">
        <v>17929.542366138077</v>
      </c>
    </row>
    <row r="277" spans="1:3">
      <c r="A277" s="4">
        <v>247</v>
      </c>
      <c r="B277" s="4">
        <v>699750.81270428398</v>
      </c>
      <c r="C277" s="4">
        <v>-20519.952704283991</v>
      </c>
    </row>
    <row r="278" spans="1:3">
      <c r="A278" s="4">
        <v>248</v>
      </c>
      <c r="B278" s="4">
        <v>680126.51204942353</v>
      </c>
      <c r="C278" s="4">
        <v>-237.77204942354001</v>
      </c>
    </row>
    <row r="279" spans="1:3">
      <c r="A279" s="4">
        <v>249</v>
      </c>
      <c r="B279" s="4">
        <v>589840.39624436328</v>
      </c>
      <c r="C279" s="4">
        <v>16943.273755636765</v>
      </c>
    </row>
    <row r="280" spans="1:3">
      <c r="A280" s="4">
        <v>250</v>
      </c>
      <c r="B280" s="4">
        <v>649068.76097216865</v>
      </c>
      <c r="C280" s="4">
        <v>-6317.3409721686039</v>
      </c>
    </row>
    <row r="281" spans="1:3">
      <c r="A281" s="4">
        <v>251</v>
      </c>
      <c r="B281" s="4">
        <v>649897.10107793822</v>
      </c>
      <c r="C281" s="4">
        <v>-1943.3210779381916</v>
      </c>
    </row>
    <row r="282" spans="1:3">
      <c r="A282" s="4">
        <v>252</v>
      </c>
      <c r="B282" s="4">
        <v>712020.19843012851</v>
      </c>
      <c r="C282" s="4">
        <v>17420.251569871441</v>
      </c>
    </row>
    <row r="283" spans="1:3">
      <c r="A283" s="4">
        <v>253</v>
      </c>
      <c r="B283" s="4">
        <v>758353.64613787609</v>
      </c>
      <c r="C283" s="4">
        <v>6595.3538621239131</v>
      </c>
    </row>
    <row r="284" spans="1:3">
      <c r="A284" s="4">
        <v>254</v>
      </c>
      <c r="B284" s="4">
        <v>706026.95801981678</v>
      </c>
      <c r="C284" s="4">
        <v>93019.981980183162</v>
      </c>
    </row>
    <row r="285" spans="1:3">
      <c r="A285" s="4">
        <v>255</v>
      </c>
      <c r="B285" s="4">
        <v>678750.95848938089</v>
      </c>
      <c r="C285" s="4">
        <v>41328.581510619144</v>
      </c>
    </row>
    <row r="286" spans="1:3">
      <c r="A286" s="4">
        <v>256</v>
      </c>
      <c r="B286" s="4">
        <v>643343.7165780178</v>
      </c>
      <c r="C286" s="4">
        <v>-30953.57657801779</v>
      </c>
    </row>
    <row r="287" spans="1:3">
      <c r="A287" s="4">
        <v>257</v>
      </c>
      <c r="B287" s="4">
        <v>759764.7974543412</v>
      </c>
      <c r="C287" s="4">
        <v>80343.322545658797</v>
      </c>
    </row>
    <row r="288" spans="1:3">
      <c r="A288" s="4">
        <v>258</v>
      </c>
      <c r="B288" s="4">
        <v>684259.46159809071</v>
      </c>
      <c r="C288" s="4">
        <v>13628.628401909256</v>
      </c>
    </row>
    <row r="289" spans="1:3">
      <c r="A289" s="4">
        <v>259</v>
      </c>
      <c r="B289" s="4">
        <v>750592.0742836647</v>
      </c>
      <c r="C289" s="4">
        <v>-4476.4842836647294</v>
      </c>
    </row>
    <row r="290" spans="1:3">
      <c r="A290" s="4">
        <v>260</v>
      </c>
      <c r="B290" s="4">
        <v>721257.30795927148</v>
      </c>
      <c r="C290" s="4">
        <v>54853.01204072847</v>
      </c>
    </row>
    <row r="291" spans="1:3">
      <c r="A291" s="4">
        <v>261</v>
      </c>
      <c r="B291" s="4">
        <v>525998.8904457594</v>
      </c>
      <c r="C291" s="4">
        <v>2853.7295542405918</v>
      </c>
    </row>
    <row r="292" spans="1:3">
      <c r="A292" s="4">
        <v>262</v>
      </c>
      <c r="B292" s="4">
        <v>610923.35402897419</v>
      </c>
      <c r="C292" s="4">
        <v>-5172.024028974236</v>
      </c>
    </row>
    <row r="293" spans="1:3">
      <c r="A293" s="4">
        <v>263</v>
      </c>
      <c r="B293" s="4">
        <v>614388.61172263452</v>
      </c>
      <c r="C293" s="4">
        <v>63252.0382773655</v>
      </c>
    </row>
    <row r="294" spans="1:3">
      <c r="A294" s="4">
        <v>264</v>
      </c>
      <c r="B294" s="4">
        <v>616827.6972279615</v>
      </c>
      <c r="C294" s="4">
        <v>19785.532772038481</v>
      </c>
    </row>
    <row r="295" spans="1:3">
      <c r="A295" s="4">
        <v>265</v>
      </c>
      <c r="B295" s="4">
        <v>715922.39779932029</v>
      </c>
      <c r="C295" s="4">
        <v>-6937.207799320342</v>
      </c>
    </row>
    <row r="296" spans="1:3">
      <c r="A296" s="4">
        <v>266</v>
      </c>
      <c r="B296" s="4">
        <v>732285.39230799756</v>
      </c>
      <c r="C296" s="4">
        <v>35507.547692002379</v>
      </c>
    </row>
    <row r="297" spans="1:3">
      <c r="A297" s="4">
        <v>267</v>
      </c>
      <c r="B297" s="4">
        <v>715535.89756807266</v>
      </c>
      <c r="C297" s="4">
        <v>30044.612431927351</v>
      </c>
    </row>
    <row r="298" spans="1:3">
      <c r="A298" s="4">
        <v>268</v>
      </c>
      <c r="B298" s="4">
        <v>715204.51578747283</v>
      </c>
      <c r="C298" s="4">
        <v>47123.794212527224</v>
      </c>
    </row>
    <row r="299" spans="1:3">
      <c r="A299" s="4">
        <v>269</v>
      </c>
      <c r="B299" s="4">
        <v>726869.33203527867</v>
      </c>
      <c r="C299" s="4">
        <v>-66235.342035278678</v>
      </c>
    </row>
    <row r="300" spans="1:3">
      <c r="A300" s="4">
        <v>270</v>
      </c>
      <c r="B300" s="4">
        <v>677717.62754509074</v>
      </c>
      <c r="C300" s="4">
        <v>61656.932454909314</v>
      </c>
    </row>
    <row r="301" spans="1:3">
      <c r="A301" s="4">
        <v>271</v>
      </c>
      <c r="B301" s="4">
        <v>796648.43669524265</v>
      </c>
      <c r="C301" s="4">
        <v>3108.0233047573129</v>
      </c>
    </row>
    <row r="302" spans="1:3">
      <c r="A302" s="4">
        <v>272</v>
      </c>
      <c r="B302" s="4">
        <v>653416.5748383631</v>
      </c>
      <c r="C302" s="4">
        <v>-60073.5748383631</v>
      </c>
    </row>
    <row r="303" spans="1:3">
      <c r="A303" s="4">
        <v>273</v>
      </c>
      <c r="B303" s="4">
        <v>635592.3822581222</v>
      </c>
      <c r="C303" s="4">
        <v>9447.5877418777673</v>
      </c>
    </row>
    <row r="304" spans="1:3">
      <c r="A304" s="4">
        <v>274</v>
      </c>
      <c r="B304" s="4">
        <v>520660.95045392099</v>
      </c>
      <c r="C304" s="4">
        <v>40936.37954607897</v>
      </c>
    </row>
    <row r="305" spans="1:3">
      <c r="A305" s="4">
        <v>275</v>
      </c>
      <c r="B305" s="4">
        <v>644695.73471771344</v>
      </c>
      <c r="C305" s="4">
        <v>-8857.9947177134454</v>
      </c>
    </row>
    <row r="306" spans="1:3">
      <c r="A306" s="4">
        <v>276</v>
      </c>
      <c r="B306" s="4">
        <v>601414.47401987622</v>
      </c>
      <c r="C306" s="4">
        <v>85323.39598012378</v>
      </c>
    </row>
    <row r="307" spans="1:3">
      <c r="A307" s="4">
        <v>277</v>
      </c>
      <c r="B307" s="4">
        <v>758053.23586830264</v>
      </c>
      <c r="C307" s="4">
        <v>-84976.895868302672</v>
      </c>
    </row>
    <row r="308" spans="1:3">
      <c r="A308" s="4">
        <v>278</v>
      </c>
      <c r="B308" s="4">
        <v>719288.98809292656</v>
      </c>
      <c r="C308" s="4">
        <v>19259.431907073478</v>
      </c>
    </row>
    <row r="309" spans="1:3">
      <c r="A309" s="4">
        <v>279</v>
      </c>
      <c r="B309" s="4">
        <v>770956.11381134146</v>
      </c>
      <c r="C309" s="4">
        <v>-14336.343811341445</v>
      </c>
    </row>
    <row r="310" spans="1:3">
      <c r="A310" s="4">
        <v>280</v>
      </c>
      <c r="B310" s="4">
        <v>788946.72252572654</v>
      </c>
      <c r="C310" s="4">
        <v>-27824.302525726496</v>
      </c>
    </row>
    <row r="311" spans="1:3">
      <c r="A311" s="4">
        <v>281</v>
      </c>
      <c r="B311" s="4">
        <v>576356.62352678541</v>
      </c>
      <c r="C311" s="4">
        <v>-51457.053526785458</v>
      </c>
    </row>
    <row r="312" spans="1:3">
      <c r="A312" s="4">
        <v>282</v>
      </c>
      <c r="B312" s="4">
        <v>590595.03145419399</v>
      </c>
      <c r="C312" s="4">
        <v>-35037.261454193969</v>
      </c>
    </row>
    <row r="313" spans="1:3">
      <c r="A313" s="4">
        <v>283</v>
      </c>
      <c r="B313" s="4">
        <v>698309.09967088839</v>
      </c>
      <c r="C313" s="4">
        <v>15774.580329111661</v>
      </c>
    </row>
    <row r="314" spans="1:3">
      <c r="A314" s="4">
        <v>284</v>
      </c>
      <c r="B314" s="4">
        <v>508018.56884740677</v>
      </c>
      <c r="C314" s="4">
        <v>-10578.748847406765</v>
      </c>
    </row>
    <row r="315" spans="1:3">
      <c r="A315" s="4">
        <v>285</v>
      </c>
      <c r="B315" s="4">
        <v>658130.09267649462</v>
      </c>
      <c r="C315" s="4">
        <v>-21354.432676494587</v>
      </c>
    </row>
    <row r="316" spans="1:3">
      <c r="A316" s="4">
        <v>286</v>
      </c>
      <c r="B316" s="4">
        <v>650692.56194215012</v>
      </c>
      <c r="C316" s="4">
        <v>-17683.03194215009</v>
      </c>
    </row>
    <row r="317" spans="1:3">
      <c r="A317" s="4">
        <v>287</v>
      </c>
      <c r="B317" s="4">
        <v>617914.77876327862</v>
      </c>
      <c r="C317" s="4">
        <v>-7965.7787632786203</v>
      </c>
    </row>
    <row r="318" spans="1:3">
      <c r="A318" s="4">
        <v>288</v>
      </c>
      <c r="B318" s="4">
        <v>577141.41950580943</v>
      </c>
      <c r="C318" s="4">
        <v>-29037.71950580948</v>
      </c>
    </row>
    <row r="319" spans="1:3">
      <c r="A319" s="4">
        <v>289</v>
      </c>
      <c r="B319" s="4">
        <v>704704.58531143458</v>
      </c>
      <c r="C319" s="4">
        <v>24719.834688565461</v>
      </c>
    </row>
    <row r="320" spans="1:3">
      <c r="A320" s="4">
        <v>290</v>
      </c>
      <c r="B320" s="4">
        <v>729713.08625571546</v>
      </c>
      <c r="C320" s="4">
        <v>-33451.596255715471</v>
      </c>
    </row>
    <row r="321" spans="1:3">
      <c r="A321" s="4">
        <v>291</v>
      </c>
      <c r="B321" s="4">
        <v>718839.5325145392</v>
      </c>
      <c r="C321" s="4">
        <v>94477.177485460765</v>
      </c>
    </row>
    <row r="322" spans="1:3">
      <c r="A322" s="4">
        <v>292</v>
      </c>
      <c r="B322" s="4">
        <v>711918.92610799533</v>
      </c>
      <c r="C322" s="4">
        <v>-9850.0061079952866</v>
      </c>
    </row>
    <row r="323" spans="1:3">
      <c r="A323" s="4">
        <v>293</v>
      </c>
      <c r="B323" s="4">
        <v>590717.29174561484</v>
      </c>
      <c r="C323" s="4">
        <v>-44493.591745614889</v>
      </c>
    </row>
    <row r="324" spans="1:3">
      <c r="A324" s="4">
        <v>294</v>
      </c>
      <c r="B324" s="4">
        <v>528723.3351054925</v>
      </c>
      <c r="C324" s="4">
        <v>4397.9248945075087</v>
      </c>
    </row>
    <row r="325" spans="1:3">
      <c r="A325" s="4">
        <v>295</v>
      </c>
      <c r="B325" s="4">
        <v>508389.30087007111</v>
      </c>
      <c r="C325" s="4">
        <v>-9418.9808700711001</v>
      </c>
    </row>
    <row r="326" spans="1:3">
      <c r="A326" s="4">
        <v>296</v>
      </c>
      <c r="B326" s="4">
        <v>474051.06889873103</v>
      </c>
      <c r="C326" s="4">
        <v>13687.191101268982</v>
      </c>
    </row>
    <row r="327" spans="1:3">
      <c r="A327" s="4">
        <v>297</v>
      </c>
      <c r="B327" s="4">
        <v>670370.02168882475</v>
      </c>
      <c r="C327" s="4">
        <v>-1910.651688824757</v>
      </c>
    </row>
    <row r="328" spans="1:3">
      <c r="A328" s="4">
        <v>298</v>
      </c>
      <c r="B328" s="4">
        <v>679410.17181611655</v>
      </c>
      <c r="C328" s="4">
        <v>83752.278183883405</v>
      </c>
    </row>
    <row r="329" spans="1:3">
      <c r="A329" s="4">
        <v>299</v>
      </c>
      <c r="B329" s="4">
        <v>618876.048748462</v>
      </c>
      <c r="C329" s="4">
        <v>-19858.718748462037</v>
      </c>
    </row>
    <row r="330" spans="1:3">
      <c r="A330" s="4">
        <v>300</v>
      </c>
      <c r="B330" s="4">
        <v>470056.82886650809</v>
      </c>
      <c r="C330" s="4">
        <v>-68474.248866508075</v>
      </c>
    </row>
    <row r="331" spans="1:3">
      <c r="A331" s="4">
        <v>301</v>
      </c>
      <c r="B331" s="4">
        <v>718759.95262877108</v>
      </c>
      <c r="C331" s="4">
        <v>-14946.962628771085</v>
      </c>
    </row>
    <row r="332" spans="1:3">
      <c r="A332" s="4">
        <v>302</v>
      </c>
      <c r="B332" s="4">
        <v>719327.32794600888</v>
      </c>
      <c r="C332" s="4">
        <v>5019.4020539910998</v>
      </c>
    </row>
    <row r="333" spans="1:3">
      <c r="A333" s="4">
        <v>303</v>
      </c>
      <c r="B333" s="4">
        <v>737983.65607815562</v>
      </c>
      <c r="C333" s="4">
        <v>-7093.6460781556088</v>
      </c>
    </row>
    <row r="334" spans="1:3">
      <c r="A334" s="4">
        <v>304</v>
      </c>
      <c r="B334" s="4">
        <v>720973.69488573179</v>
      </c>
      <c r="C334" s="4">
        <v>59607.255114268162</v>
      </c>
    </row>
    <row r="335" spans="1:3">
      <c r="A335" s="4">
        <v>305</v>
      </c>
      <c r="B335" s="4">
        <v>707957.15679578495</v>
      </c>
      <c r="C335" s="4">
        <v>20000.323204215034</v>
      </c>
    </row>
    <row r="336" spans="1:3">
      <c r="A336" s="4">
        <v>306</v>
      </c>
      <c r="B336" s="4">
        <v>648422.32195962034</v>
      </c>
      <c r="C336" s="4">
        <v>-110046.32195962034</v>
      </c>
    </row>
    <row r="337" spans="1:3">
      <c r="A337" s="4">
        <v>307</v>
      </c>
      <c r="B337" s="4">
        <v>632758.47461819847</v>
      </c>
      <c r="C337" s="4">
        <v>32584.015381801524</v>
      </c>
    </row>
    <row r="338" spans="1:3">
      <c r="A338" s="4">
        <v>308</v>
      </c>
      <c r="B338" s="4">
        <v>717743.3692106104</v>
      </c>
      <c r="C338" s="4">
        <v>-66579.189210610348</v>
      </c>
    </row>
    <row r="339" spans="1:3">
      <c r="A339" s="4">
        <v>309</v>
      </c>
      <c r="B339" s="4">
        <v>653618.57411386271</v>
      </c>
      <c r="C339" s="4">
        <v>-25080.274113862659</v>
      </c>
    </row>
    <row r="340" spans="1:3">
      <c r="A340" s="4">
        <v>310</v>
      </c>
      <c r="B340" s="4">
        <v>588528.84291518654</v>
      </c>
      <c r="C340" s="4">
        <v>-52004.002915186575</v>
      </c>
    </row>
    <row r="341" spans="1:3">
      <c r="A341" s="4">
        <v>311</v>
      </c>
      <c r="B341" s="4">
        <v>646624.69031828374</v>
      </c>
      <c r="C341" s="4">
        <v>-24947.390318283695</v>
      </c>
    </row>
    <row r="342" spans="1:3">
      <c r="A342" s="4">
        <v>312</v>
      </c>
      <c r="B342" s="4">
        <v>760678.16436039004</v>
      </c>
      <c r="C342" s="4">
        <v>10450.905639609904</v>
      </c>
    </row>
    <row r="343" spans="1:3">
      <c r="A343" s="4">
        <v>313</v>
      </c>
      <c r="B343" s="4">
        <v>678360.08336714539</v>
      </c>
      <c r="C343" s="4">
        <v>23692.386632854585</v>
      </c>
    </row>
    <row r="344" spans="1:3">
      <c r="A344" s="4">
        <v>314</v>
      </c>
      <c r="B344" s="4">
        <v>733704.5935718707</v>
      </c>
      <c r="C344" s="4">
        <v>-45336.133571870741</v>
      </c>
    </row>
    <row r="345" spans="1:3">
      <c r="A345" s="4">
        <v>315</v>
      </c>
      <c r="B345" s="4">
        <v>695170.83866031596</v>
      </c>
      <c r="C345" s="4">
        <v>17204.931339684059</v>
      </c>
    </row>
    <row r="346" spans="1:3">
      <c r="A346" s="4">
        <v>316</v>
      </c>
      <c r="B346" s="4">
        <v>827938.23183330067</v>
      </c>
      <c r="C346" s="4">
        <v>16772.438166699372</v>
      </c>
    </row>
    <row r="347" spans="1:3">
      <c r="A347" s="4">
        <v>317</v>
      </c>
      <c r="B347" s="4">
        <v>676998.8672674679</v>
      </c>
      <c r="C347" s="4">
        <v>-56734.667267467943</v>
      </c>
    </row>
    <row r="348" spans="1:3">
      <c r="A348" s="4">
        <v>318</v>
      </c>
      <c r="B348" s="4">
        <v>523650.1557912745</v>
      </c>
      <c r="C348" s="4">
        <v>13195.264208725537</v>
      </c>
    </row>
    <row r="349" spans="1:3">
      <c r="A349" s="4">
        <v>319</v>
      </c>
      <c r="B349" s="4">
        <v>735924.31431952585</v>
      </c>
      <c r="C349" s="4">
        <v>-9148.0943195258733</v>
      </c>
    </row>
    <row r="350" spans="1:3" ht="14.4" thickBot="1">
      <c r="A350" s="5">
        <v>320</v>
      </c>
      <c r="B350" s="5">
        <v>598977.08462500724</v>
      </c>
      <c r="C350" s="5">
        <v>-39316.244625007268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9707-3327-4EDC-9ECE-323AF4849CE7}">
  <dimension ref="A1:AB321"/>
  <sheetViews>
    <sheetView topLeftCell="T1" workbookViewId="0">
      <selection activeCell="AB1" sqref="AB1:AB1048576"/>
    </sheetView>
  </sheetViews>
  <sheetFormatPr defaultRowHeight="13.8"/>
  <cols>
    <col min="4" max="4" width="14.796875" bestFit="1" customWidth="1"/>
    <col min="5" max="5" width="15.09765625" bestFit="1" customWidth="1"/>
    <col min="6" max="6" width="17.296875" bestFit="1" customWidth="1"/>
    <col min="7" max="7" width="14.296875" bestFit="1" customWidth="1"/>
    <col min="8" max="8" width="17.09765625" customWidth="1"/>
    <col min="10" max="10" width="19.796875" bestFit="1" customWidth="1"/>
    <col min="11" max="11" width="14.59765625" bestFit="1" customWidth="1"/>
    <col min="12" max="12" width="19.5" bestFit="1" customWidth="1"/>
    <col min="13" max="13" width="20.796875" bestFit="1" customWidth="1"/>
    <col min="14" max="14" width="15.5" bestFit="1" customWidth="1"/>
    <col min="15" max="15" width="14.5" customWidth="1"/>
    <col min="16" max="16" width="14.69921875" customWidth="1"/>
    <col min="17" max="17" width="13.69921875" customWidth="1"/>
    <col min="21" max="21" width="14.796875" bestFit="1" customWidth="1"/>
    <col min="22" max="22" width="15.09765625" bestFit="1" customWidth="1"/>
    <col min="23" max="23" width="17.296875" bestFit="1" customWidth="1"/>
    <col min="24" max="24" width="17.09765625" customWidth="1"/>
    <col min="26" max="26" width="19.5" bestFit="1" customWidth="1"/>
    <col min="27" max="27" width="14.5" customWidth="1"/>
    <col min="28" max="28" width="38.3984375" customWidth="1"/>
  </cols>
  <sheetData>
    <row r="1" spans="1:28" ht="27.6">
      <c r="A1" s="1" t="s">
        <v>0</v>
      </c>
      <c r="B1" s="1" t="s">
        <v>1</v>
      </c>
      <c r="C1" s="1" t="s">
        <v>2</v>
      </c>
      <c r="D1" s="1" t="s">
        <v>118</v>
      </c>
      <c r="E1" s="1" t="s">
        <v>119</v>
      </c>
      <c r="F1" s="1" t="s">
        <v>120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U1" s="1" t="s">
        <v>118</v>
      </c>
      <c r="V1" s="1" t="s">
        <v>119</v>
      </c>
      <c r="W1" s="1" t="s">
        <v>120</v>
      </c>
      <c r="X1" s="1" t="s">
        <v>4</v>
      </c>
      <c r="Y1" s="1" t="s">
        <v>5</v>
      </c>
      <c r="Z1" s="1" t="s">
        <v>8</v>
      </c>
      <c r="AA1" s="1" t="s">
        <v>11</v>
      </c>
      <c r="AB1" s="1" t="s">
        <v>152</v>
      </c>
    </row>
    <row r="2" spans="1:28">
      <c r="A2" t="s">
        <v>14</v>
      </c>
      <c r="B2" s="2">
        <v>45658</v>
      </c>
      <c r="C2" t="s">
        <v>15</v>
      </c>
      <c r="D2">
        <f>IF(C2="North",1,0)</f>
        <v>0</v>
      </c>
      <c r="E2">
        <f>IF(C2="South",1,0)</f>
        <v>0</v>
      </c>
      <c r="F2">
        <f>IF(C2="West",1,0)</f>
        <v>0</v>
      </c>
      <c r="G2" t="s">
        <v>16</v>
      </c>
      <c r="H2">
        <v>70389.11</v>
      </c>
      <c r="I2">
        <v>8302</v>
      </c>
      <c r="J2">
        <v>4.2000000000000003E-2</v>
      </c>
      <c r="K2">
        <v>17</v>
      </c>
      <c r="L2">
        <v>75</v>
      </c>
      <c r="M2">
        <v>5.28</v>
      </c>
      <c r="N2">
        <v>1</v>
      </c>
      <c r="O2">
        <v>3.1</v>
      </c>
      <c r="P2">
        <v>658832.62</v>
      </c>
      <c r="Q2">
        <v>84349.93</v>
      </c>
      <c r="U2">
        <v>0</v>
      </c>
      <c r="V2">
        <v>0</v>
      </c>
      <c r="W2">
        <v>0</v>
      </c>
      <c r="X2">
        <v>70389.11</v>
      </c>
      <c r="Y2">
        <v>8302</v>
      </c>
      <c r="Z2">
        <v>75</v>
      </c>
      <c r="AA2">
        <v>3.1</v>
      </c>
      <c r="AB2">
        <f>80972.67194
+(8667.122801*U2)
+(21972.42005*V2)
+(17042.83335*W2)
+(1.202273376*X2)
+(33.98425653*Y2)
+(2886.7347*Z2)
+(11024.99051*AA2)</f>
        <v>698419.49564639537</v>
      </c>
    </row>
    <row r="3" spans="1:28">
      <c r="A3" t="s">
        <v>14</v>
      </c>
      <c r="B3" s="2">
        <v>45689</v>
      </c>
      <c r="C3" t="s">
        <v>15</v>
      </c>
      <c r="D3">
        <f t="shared" ref="D3:D66" si="0">IF(C3="North",1,0)</f>
        <v>0</v>
      </c>
      <c r="E3">
        <f t="shared" ref="E3:E66" si="1">IF(C3="South",1,0)</f>
        <v>0</v>
      </c>
      <c r="F3">
        <f t="shared" ref="F3:F66" si="2">IF(C3="West",1,0)</f>
        <v>0</v>
      </c>
      <c r="G3" t="s">
        <v>16</v>
      </c>
      <c r="H3">
        <v>43827.89</v>
      </c>
      <c r="I3">
        <v>8487</v>
      </c>
      <c r="J3">
        <v>0.16800000000000001</v>
      </c>
      <c r="K3">
        <v>23</v>
      </c>
      <c r="L3">
        <v>84.4</v>
      </c>
      <c r="M3">
        <v>4.3099999999999996</v>
      </c>
      <c r="N3">
        <v>0</v>
      </c>
      <c r="O3">
        <v>2.8</v>
      </c>
      <c r="P3">
        <v>634436</v>
      </c>
      <c r="Q3">
        <v>106130.54</v>
      </c>
      <c r="U3">
        <v>0</v>
      </c>
      <c r="V3">
        <v>0</v>
      </c>
      <c r="W3">
        <v>0</v>
      </c>
      <c r="X3">
        <v>43827.89</v>
      </c>
      <c r="Y3">
        <v>8487</v>
      </c>
      <c r="Z3">
        <v>84.4</v>
      </c>
      <c r="AA3">
        <v>2.8</v>
      </c>
      <c r="AB3">
        <f t="shared" ref="AB3:AB66" si="3">80972.67194
+(8667.122801*U3)
+(21972.42005*V3)
+(17042.83335*W3)
+(1.202273376*X3)
+(33.98425653*Y3)
+(2886.7347*Z3)
+(11024.99051*AA3)</f>
        <v>696600.54449136672</v>
      </c>
    </row>
    <row r="4" spans="1:28">
      <c r="A4" t="s">
        <v>14</v>
      </c>
      <c r="B4" s="2">
        <v>45717</v>
      </c>
      <c r="C4" t="s">
        <v>15</v>
      </c>
      <c r="D4">
        <f t="shared" si="0"/>
        <v>0</v>
      </c>
      <c r="E4">
        <f t="shared" si="1"/>
        <v>0</v>
      </c>
      <c r="F4">
        <f t="shared" si="2"/>
        <v>0</v>
      </c>
      <c r="G4" t="s">
        <v>16</v>
      </c>
      <c r="H4">
        <v>59921.75</v>
      </c>
      <c r="I4">
        <v>9113</v>
      </c>
      <c r="J4">
        <v>0.13300000000000001</v>
      </c>
      <c r="K4">
        <v>20</v>
      </c>
      <c r="L4">
        <v>88</v>
      </c>
      <c r="M4">
        <v>12</v>
      </c>
      <c r="N4">
        <v>0</v>
      </c>
      <c r="O4">
        <v>3.2</v>
      </c>
      <c r="P4">
        <v>678722.06</v>
      </c>
      <c r="Q4">
        <v>101883.86</v>
      </c>
      <c r="U4">
        <v>0</v>
      </c>
      <c r="V4">
        <v>0</v>
      </c>
      <c r="W4">
        <v>0</v>
      </c>
      <c r="X4">
        <v>59921.75</v>
      </c>
      <c r="Y4">
        <v>9113</v>
      </c>
      <c r="Z4">
        <v>88</v>
      </c>
      <c r="AA4">
        <v>3.2</v>
      </c>
      <c r="AB4">
        <f t="shared" si="3"/>
        <v>752026.14959821803</v>
      </c>
    </row>
    <row r="5" spans="1:28">
      <c r="A5" t="s">
        <v>14</v>
      </c>
      <c r="B5" s="2">
        <v>45748</v>
      </c>
      <c r="C5" t="s">
        <v>15</v>
      </c>
      <c r="D5">
        <f t="shared" si="0"/>
        <v>0</v>
      </c>
      <c r="E5">
        <f t="shared" si="1"/>
        <v>0</v>
      </c>
      <c r="F5">
        <f t="shared" si="2"/>
        <v>0</v>
      </c>
      <c r="G5" t="s">
        <v>16</v>
      </c>
      <c r="H5">
        <v>56856.63</v>
      </c>
      <c r="I5">
        <v>9431</v>
      </c>
      <c r="J5">
        <v>0.14199999999999999</v>
      </c>
      <c r="K5">
        <v>23</v>
      </c>
      <c r="L5">
        <v>86.9</v>
      </c>
      <c r="M5">
        <v>4.97</v>
      </c>
      <c r="N5">
        <v>0</v>
      </c>
      <c r="O5">
        <v>3.4</v>
      </c>
      <c r="P5">
        <v>658920.30000000005</v>
      </c>
      <c r="Q5">
        <v>97910.37</v>
      </c>
      <c r="U5">
        <v>0</v>
      </c>
      <c r="V5">
        <v>0</v>
      </c>
      <c r="W5">
        <v>0</v>
      </c>
      <c r="X5">
        <v>56856.63</v>
      </c>
      <c r="Y5">
        <v>9431</v>
      </c>
      <c r="Z5">
        <v>86.9</v>
      </c>
      <c r="AA5">
        <v>3.4</v>
      </c>
      <c r="AB5">
        <f t="shared" si="3"/>
        <v>758177.62093651283</v>
      </c>
    </row>
    <row r="6" spans="1:28">
      <c r="A6" t="s">
        <v>17</v>
      </c>
      <c r="B6" s="2">
        <v>45658</v>
      </c>
      <c r="C6" t="s">
        <v>15</v>
      </c>
      <c r="D6">
        <f t="shared" si="0"/>
        <v>0</v>
      </c>
      <c r="E6">
        <f t="shared" si="1"/>
        <v>0</v>
      </c>
      <c r="F6">
        <f t="shared" si="2"/>
        <v>0</v>
      </c>
      <c r="G6" t="s">
        <v>18</v>
      </c>
      <c r="H6">
        <v>48412.639999999999</v>
      </c>
      <c r="I6">
        <v>9545</v>
      </c>
      <c r="J6">
        <v>0.23100000000000001</v>
      </c>
      <c r="K6">
        <v>21</v>
      </c>
      <c r="L6">
        <v>97.6</v>
      </c>
      <c r="M6">
        <v>6.94</v>
      </c>
      <c r="N6">
        <v>1</v>
      </c>
      <c r="O6">
        <v>4.2</v>
      </c>
      <c r="P6">
        <v>741341.44</v>
      </c>
      <c r="Q6">
        <v>119208.17</v>
      </c>
      <c r="U6">
        <v>0</v>
      </c>
      <c r="V6">
        <v>0</v>
      </c>
      <c r="W6">
        <v>0</v>
      </c>
      <c r="X6">
        <v>48412.639999999999</v>
      </c>
      <c r="Y6">
        <v>9545</v>
      </c>
      <c r="Z6">
        <v>97.6</v>
      </c>
      <c r="AA6">
        <v>4.2</v>
      </c>
      <c r="AB6">
        <f t="shared" si="3"/>
        <v>791607.89551472268</v>
      </c>
    </row>
    <row r="7" spans="1:28">
      <c r="A7" t="s">
        <v>17</v>
      </c>
      <c r="B7" s="2">
        <v>45689</v>
      </c>
      <c r="C7" t="s">
        <v>15</v>
      </c>
      <c r="D7">
        <f t="shared" si="0"/>
        <v>0</v>
      </c>
      <c r="E7">
        <f t="shared" si="1"/>
        <v>0</v>
      </c>
      <c r="F7">
        <f t="shared" si="2"/>
        <v>0</v>
      </c>
      <c r="G7" t="s">
        <v>18</v>
      </c>
      <c r="H7">
        <v>64811.21</v>
      </c>
      <c r="I7">
        <v>9792</v>
      </c>
      <c r="J7">
        <v>0.112</v>
      </c>
      <c r="K7">
        <v>20</v>
      </c>
      <c r="L7">
        <v>84.2</v>
      </c>
      <c r="M7">
        <v>2.88</v>
      </c>
      <c r="N7">
        <v>0</v>
      </c>
      <c r="O7">
        <v>4.2</v>
      </c>
      <c r="P7">
        <v>761835.34</v>
      </c>
      <c r="Q7">
        <v>149602.23000000001</v>
      </c>
      <c r="U7">
        <v>0</v>
      </c>
      <c r="V7">
        <v>0</v>
      </c>
      <c r="W7">
        <v>0</v>
      </c>
      <c r="X7">
        <v>64811.21</v>
      </c>
      <c r="Y7">
        <v>9792</v>
      </c>
      <c r="Z7">
        <v>84.2</v>
      </c>
      <c r="AA7">
        <v>4.2</v>
      </c>
      <c r="AB7">
        <f t="shared" si="3"/>
        <v>781035.32601310499</v>
      </c>
    </row>
    <row r="8" spans="1:28">
      <c r="A8" t="s">
        <v>17</v>
      </c>
      <c r="B8" s="2">
        <v>45717</v>
      </c>
      <c r="C8" t="s">
        <v>15</v>
      </c>
      <c r="D8">
        <f t="shared" si="0"/>
        <v>0</v>
      </c>
      <c r="E8">
        <f t="shared" si="1"/>
        <v>0</v>
      </c>
      <c r="F8">
        <f t="shared" si="2"/>
        <v>0</v>
      </c>
      <c r="G8" t="s">
        <v>18</v>
      </c>
      <c r="H8">
        <v>46213.45</v>
      </c>
      <c r="I8">
        <v>10616</v>
      </c>
      <c r="J8">
        <v>0.122</v>
      </c>
      <c r="K8">
        <v>22</v>
      </c>
      <c r="L8">
        <v>85.2</v>
      </c>
      <c r="M8">
        <v>0.2</v>
      </c>
      <c r="N8">
        <v>1</v>
      </c>
      <c r="O8">
        <v>4.0999999999999996</v>
      </c>
      <c r="P8">
        <v>806615.54</v>
      </c>
      <c r="Q8">
        <v>131364.62</v>
      </c>
      <c r="U8">
        <v>0</v>
      </c>
      <c r="V8">
        <v>0</v>
      </c>
      <c r="W8">
        <v>0</v>
      </c>
      <c r="X8">
        <v>46213.45</v>
      </c>
      <c r="Y8">
        <v>10616</v>
      </c>
      <c r="Z8">
        <v>85.2</v>
      </c>
      <c r="AA8">
        <v>4.0999999999999996</v>
      </c>
      <c r="AB8">
        <f t="shared" si="3"/>
        <v>788462.99734158721</v>
      </c>
    </row>
    <row r="9" spans="1:28">
      <c r="A9" t="s">
        <v>17</v>
      </c>
      <c r="B9" s="2">
        <v>45748</v>
      </c>
      <c r="C9" t="s">
        <v>15</v>
      </c>
      <c r="D9">
        <f t="shared" si="0"/>
        <v>0</v>
      </c>
      <c r="E9">
        <f t="shared" si="1"/>
        <v>0</v>
      </c>
      <c r="F9">
        <f t="shared" si="2"/>
        <v>0</v>
      </c>
      <c r="G9" t="s">
        <v>18</v>
      </c>
      <c r="H9">
        <v>68148.52</v>
      </c>
      <c r="I9">
        <v>8567</v>
      </c>
      <c r="J9">
        <v>0.127</v>
      </c>
      <c r="K9">
        <v>23</v>
      </c>
      <c r="L9">
        <v>95.6</v>
      </c>
      <c r="M9">
        <v>0.8</v>
      </c>
      <c r="N9">
        <v>0</v>
      </c>
      <c r="O9">
        <v>3.9</v>
      </c>
      <c r="P9">
        <v>850164.26</v>
      </c>
      <c r="Q9">
        <v>149262.75</v>
      </c>
      <c r="U9">
        <v>0</v>
      </c>
      <c r="V9">
        <v>0</v>
      </c>
      <c r="W9">
        <v>0</v>
      </c>
      <c r="X9">
        <v>68148.52</v>
      </c>
      <c r="Y9">
        <v>8567</v>
      </c>
      <c r="Z9">
        <v>95.6</v>
      </c>
      <c r="AA9">
        <v>3.9</v>
      </c>
      <c r="AB9">
        <f t="shared" si="3"/>
        <v>773018.24915131356</v>
      </c>
    </row>
    <row r="10" spans="1:28">
      <c r="A10" t="s">
        <v>19</v>
      </c>
      <c r="B10" s="2">
        <v>45658</v>
      </c>
      <c r="C10" t="s">
        <v>20</v>
      </c>
      <c r="D10">
        <f t="shared" si="0"/>
        <v>1</v>
      </c>
      <c r="E10">
        <f t="shared" si="1"/>
        <v>0</v>
      </c>
      <c r="F10">
        <f t="shared" si="2"/>
        <v>0</v>
      </c>
      <c r="G10" t="s">
        <v>21</v>
      </c>
      <c r="H10">
        <v>71838.86</v>
      </c>
      <c r="I10">
        <v>10979</v>
      </c>
      <c r="J10">
        <v>0.215</v>
      </c>
      <c r="K10">
        <v>26</v>
      </c>
      <c r="L10">
        <v>88.6</v>
      </c>
      <c r="M10">
        <v>7.7</v>
      </c>
      <c r="N10">
        <v>1</v>
      </c>
      <c r="O10">
        <v>3.8</v>
      </c>
      <c r="P10">
        <v>930581.7</v>
      </c>
      <c r="Q10">
        <v>136207.98000000001</v>
      </c>
      <c r="U10">
        <v>1</v>
      </c>
      <c r="V10">
        <v>0</v>
      </c>
      <c r="W10">
        <v>0</v>
      </c>
      <c r="X10">
        <v>71838.86</v>
      </c>
      <c r="Y10">
        <v>10979</v>
      </c>
      <c r="Z10">
        <v>88.6</v>
      </c>
      <c r="AA10">
        <v>3.8</v>
      </c>
      <c r="AB10">
        <f t="shared" si="3"/>
        <v>846782.55428206129</v>
      </c>
    </row>
    <row r="11" spans="1:28">
      <c r="A11" t="s">
        <v>19</v>
      </c>
      <c r="B11" s="2">
        <v>45689</v>
      </c>
      <c r="C11" t="s">
        <v>20</v>
      </c>
      <c r="D11">
        <f t="shared" si="0"/>
        <v>1</v>
      </c>
      <c r="E11">
        <f t="shared" si="1"/>
        <v>0</v>
      </c>
      <c r="F11">
        <f t="shared" si="2"/>
        <v>0</v>
      </c>
      <c r="G11" t="s">
        <v>21</v>
      </c>
      <c r="H11">
        <v>68133.440000000002</v>
      </c>
      <c r="I11">
        <v>9459</v>
      </c>
      <c r="J11">
        <v>0.22</v>
      </c>
      <c r="K11">
        <v>21</v>
      </c>
      <c r="L11">
        <v>85</v>
      </c>
      <c r="M11">
        <v>1.91</v>
      </c>
      <c r="N11">
        <v>0</v>
      </c>
      <c r="O11">
        <v>4.2</v>
      </c>
      <c r="P11">
        <v>779010.94</v>
      </c>
      <c r="Q11">
        <v>106328.09</v>
      </c>
      <c r="U11">
        <v>1</v>
      </c>
      <c r="V11">
        <v>0</v>
      </c>
      <c r="W11">
        <v>0</v>
      </c>
      <c r="X11">
        <v>68133.440000000002</v>
      </c>
      <c r="Y11">
        <v>9459</v>
      </c>
      <c r="Z11">
        <v>85</v>
      </c>
      <c r="AA11">
        <v>4.2</v>
      </c>
      <c r="AB11">
        <f t="shared" si="3"/>
        <v>784689.30782756349</v>
      </c>
    </row>
    <row r="12" spans="1:28">
      <c r="A12" t="s">
        <v>19</v>
      </c>
      <c r="B12" s="2">
        <v>45717</v>
      </c>
      <c r="C12" t="s">
        <v>20</v>
      </c>
      <c r="D12">
        <f t="shared" si="0"/>
        <v>1</v>
      </c>
      <c r="E12">
        <f t="shared" si="1"/>
        <v>0</v>
      </c>
      <c r="F12">
        <f t="shared" si="2"/>
        <v>0</v>
      </c>
      <c r="G12" t="s">
        <v>21</v>
      </c>
      <c r="H12">
        <v>34285.21</v>
      </c>
      <c r="I12">
        <v>9172</v>
      </c>
      <c r="J12">
        <v>0.21299999999999999</v>
      </c>
      <c r="K12">
        <v>22</v>
      </c>
      <c r="L12">
        <v>88.3</v>
      </c>
      <c r="M12">
        <v>10.46</v>
      </c>
      <c r="N12">
        <v>1</v>
      </c>
      <c r="O12">
        <v>3.8</v>
      </c>
      <c r="P12">
        <v>723060.76</v>
      </c>
      <c r="Q12">
        <v>123131.24</v>
      </c>
      <c r="U12">
        <v>1</v>
      </c>
      <c r="V12">
        <v>0</v>
      </c>
      <c r="W12">
        <v>0</v>
      </c>
      <c r="X12">
        <v>34285.21</v>
      </c>
      <c r="Y12">
        <v>9172</v>
      </c>
      <c r="Z12">
        <v>88.3</v>
      </c>
      <c r="AA12">
        <v>3.8</v>
      </c>
      <c r="AB12">
        <f t="shared" si="3"/>
        <v>739357.22875572904</v>
      </c>
    </row>
    <row r="13" spans="1:28">
      <c r="A13" t="s">
        <v>19</v>
      </c>
      <c r="B13" s="2">
        <v>45748</v>
      </c>
      <c r="C13" t="s">
        <v>20</v>
      </c>
      <c r="D13">
        <f t="shared" si="0"/>
        <v>1</v>
      </c>
      <c r="E13">
        <f t="shared" si="1"/>
        <v>0</v>
      </c>
      <c r="F13">
        <f t="shared" si="2"/>
        <v>0</v>
      </c>
      <c r="G13" t="s">
        <v>21</v>
      </c>
      <c r="H13">
        <v>67979.88</v>
      </c>
      <c r="I13">
        <v>11230</v>
      </c>
      <c r="J13">
        <v>2E-3</v>
      </c>
      <c r="K13">
        <v>28</v>
      </c>
      <c r="L13">
        <v>85.3</v>
      </c>
      <c r="M13">
        <v>7.16</v>
      </c>
      <c r="N13">
        <v>0</v>
      </c>
      <c r="O13">
        <v>3.8</v>
      </c>
      <c r="P13">
        <v>910791.94</v>
      </c>
      <c r="Q13">
        <v>158891.28</v>
      </c>
      <c r="U13">
        <v>1</v>
      </c>
      <c r="V13">
        <v>0</v>
      </c>
      <c r="W13">
        <v>0</v>
      </c>
      <c r="X13">
        <v>67979.88</v>
      </c>
      <c r="Y13">
        <v>11230</v>
      </c>
      <c r="Z13">
        <v>85.3</v>
      </c>
      <c r="AA13">
        <v>3.8</v>
      </c>
      <c r="AB13">
        <f t="shared" si="3"/>
        <v>841146.82924857491</v>
      </c>
    </row>
    <row r="14" spans="1:28">
      <c r="A14" t="s">
        <v>22</v>
      </c>
      <c r="B14" s="2">
        <v>45658</v>
      </c>
      <c r="C14" t="s">
        <v>15</v>
      </c>
      <c r="D14">
        <f t="shared" si="0"/>
        <v>0</v>
      </c>
      <c r="E14">
        <f t="shared" si="1"/>
        <v>0</v>
      </c>
      <c r="F14">
        <f t="shared" si="2"/>
        <v>0</v>
      </c>
      <c r="G14" t="s">
        <v>16</v>
      </c>
      <c r="H14">
        <v>71828.259999999995</v>
      </c>
      <c r="I14">
        <v>12775</v>
      </c>
      <c r="J14">
        <v>0.11600000000000001</v>
      </c>
      <c r="K14">
        <v>30</v>
      </c>
      <c r="L14">
        <v>81.7</v>
      </c>
      <c r="M14">
        <v>4.24</v>
      </c>
      <c r="N14">
        <v>1</v>
      </c>
      <c r="O14">
        <v>4.2</v>
      </c>
      <c r="P14">
        <v>922168.6</v>
      </c>
      <c r="Q14">
        <v>107494.53</v>
      </c>
      <c r="U14">
        <v>0</v>
      </c>
      <c r="V14">
        <v>0</v>
      </c>
      <c r="W14">
        <v>0</v>
      </c>
      <c r="X14">
        <v>71828.259999999995</v>
      </c>
      <c r="Y14">
        <v>12775</v>
      </c>
      <c r="Z14">
        <v>81.7</v>
      </c>
      <c r="AA14">
        <v>4.2</v>
      </c>
      <c r="AB14">
        <f t="shared" si="3"/>
        <v>883629.93888515583</v>
      </c>
    </row>
    <row r="15" spans="1:28">
      <c r="A15" t="s">
        <v>22</v>
      </c>
      <c r="B15" s="2">
        <v>45689</v>
      </c>
      <c r="C15" t="s">
        <v>15</v>
      </c>
      <c r="D15">
        <f t="shared" si="0"/>
        <v>0</v>
      </c>
      <c r="E15">
        <f t="shared" si="1"/>
        <v>0</v>
      </c>
      <c r="F15">
        <f t="shared" si="2"/>
        <v>0</v>
      </c>
      <c r="G15" t="s">
        <v>16</v>
      </c>
      <c r="H15">
        <v>55716.82</v>
      </c>
      <c r="I15">
        <v>10054</v>
      </c>
      <c r="J15">
        <v>0.14599999999999999</v>
      </c>
      <c r="K15">
        <v>24</v>
      </c>
      <c r="L15">
        <v>84.9</v>
      </c>
      <c r="M15">
        <v>1.06</v>
      </c>
      <c r="N15">
        <v>0</v>
      </c>
      <c r="O15">
        <v>4.3</v>
      </c>
      <c r="P15">
        <v>726606.28</v>
      </c>
      <c r="Q15">
        <v>122729.29</v>
      </c>
      <c r="U15">
        <v>0</v>
      </c>
      <c r="V15">
        <v>0</v>
      </c>
      <c r="W15">
        <v>0</v>
      </c>
      <c r="X15">
        <v>55716.82</v>
      </c>
      <c r="Y15">
        <v>10054</v>
      </c>
      <c r="Z15">
        <v>84.9</v>
      </c>
      <c r="AA15">
        <v>4.3</v>
      </c>
      <c r="AB15">
        <f t="shared" si="3"/>
        <v>782128.47159700433</v>
      </c>
    </row>
    <row r="16" spans="1:28">
      <c r="A16" t="s">
        <v>22</v>
      </c>
      <c r="B16" s="2">
        <v>45717</v>
      </c>
      <c r="C16" t="s">
        <v>15</v>
      </c>
      <c r="D16">
        <f t="shared" si="0"/>
        <v>0</v>
      </c>
      <c r="E16">
        <f t="shared" si="1"/>
        <v>0</v>
      </c>
      <c r="F16">
        <f t="shared" si="2"/>
        <v>0</v>
      </c>
      <c r="G16" t="s">
        <v>16</v>
      </c>
      <c r="H16">
        <v>59909.51</v>
      </c>
      <c r="I16">
        <v>8895</v>
      </c>
      <c r="J16">
        <v>0.22800000000000001</v>
      </c>
      <c r="K16">
        <v>23</v>
      </c>
      <c r="L16">
        <v>88.8</v>
      </c>
      <c r="M16">
        <v>0.27</v>
      </c>
      <c r="N16">
        <v>0</v>
      </c>
      <c r="O16">
        <v>4.3</v>
      </c>
      <c r="P16">
        <v>746501.09</v>
      </c>
      <c r="Q16">
        <v>136816.72</v>
      </c>
      <c r="U16">
        <v>0</v>
      </c>
      <c r="V16">
        <v>0</v>
      </c>
      <c r="W16">
        <v>0</v>
      </c>
      <c r="X16">
        <v>59909.51</v>
      </c>
      <c r="Y16">
        <v>8895</v>
      </c>
      <c r="Z16">
        <v>88.8</v>
      </c>
      <c r="AA16">
        <v>4.3</v>
      </c>
      <c r="AB16">
        <f t="shared" si="3"/>
        <v>759039.74316955579</v>
      </c>
    </row>
    <row r="17" spans="1:28">
      <c r="A17" t="s">
        <v>22</v>
      </c>
      <c r="B17" s="2">
        <v>45748</v>
      </c>
      <c r="C17" t="s">
        <v>15</v>
      </c>
      <c r="D17">
        <f t="shared" si="0"/>
        <v>0</v>
      </c>
      <c r="E17">
        <f t="shared" si="1"/>
        <v>0</v>
      </c>
      <c r="F17">
        <f t="shared" si="2"/>
        <v>0</v>
      </c>
      <c r="G17" t="s">
        <v>16</v>
      </c>
      <c r="H17">
        <v>75305.710000000006</v>
      </c>
      <c r="I17">
        <v>10940</v>
      </c>
      <c r="J17">
        <v>6.0000000000000001E-3</v>
      </c>
      <c r="K17">
        <v>26</v>
      </c>
      <c r="L17">
        <v>76.5</v>
      </c>
      <c r="M17">
        <v>1.32</v>
      </c>
      <c r="N17">
        <v>0</v>
      </c>
      <c r="O17">
        <v>4.5</v>
      </c>
      <c r="P17">
        <v>834017.02</v>
      </c>
      <c r="Q17">
        <v>114745.03</v>
      </c>
      <c r="U17">
        <v>0</v>
      </c>
      <c r="V17">
        <v>0</v>
      </c>
      <c r="W17">
        <v>0</v>
      </c>
      <c r="X17">
        <v>75305.710000000006</v>
      </c>
      <c r="Y17">
        <v>10940</v>
      </c>
      <c r="Z17">
        <v>76.5</v>
      </c>
      <c r="AA17">
        <v>4.5</v>
      </c>
      <c r="AB17">
        <f t="shared" si="3"/>
        <v>813746.15041697701</v>
      </c>
    </row>
    <row r="18" spans="1:28">
      <c r="A18" t="s">
        <v>23</v>
      </c>
      <c r="B18" s="2">
        <v>45658</v>
      </c>
      <c r="C18" t="s">
        <v>24</v>
      </c>
      <c r="D18">
        <f t="shared" si="0"/>
        <v>0</v>
      </c>
      <c r="E18">
        <f t="shared" si="1"/>
        <v>1</v>
      </c>
      <c r="F18">
        <f t="shared" si="2"/>
        <v>0</v>
      </c>
      <c r="G18" t="s">
        <v>16</v>
      </c>
      <c r="H18">
        <v>48804.22</v>
      </c>
      <c r="I18">
        <v>7057</v>
      </c>
      <c r="J18">
        <v>5.0000000000000001E-3</v>
      </c>
      <c r="K18">
        <v>15</v>
      </c>
      <c r="L18">
        <v>87.7</v>
      </c>
      <c r="M18">
        <v>1.22</v>
      </c>
      <c r="N18">
        <v>0</v>
      </c>
      <c r="O18">
        <v>3.7</v>
      </c>
      <c r="P18">
        <v>666152.52</v>
      </c>
      <c r="Q18">
        <v>107490.58</v>
      </c>
      <c r="U18">
        <v>0</v>
      </c>
      <c r="V18">
        <v>1</v>
      </c>
      <c r="W18">
        <v>0</v>
      </c>
      <c r="X18">
        <v>48804.22</v>
      </c>
      <c r="Y18">
        <v>7057</v>
      </c>
      <c r="Z18">
        <v>87.7</v>
      </c>
      <c r="AA18">
        <v>3.7</v>
      </c>
      <c r="AB18">
        <f t="shared" si="3"/>
        <v>695407.10274165671</v>
      </c>
    </row>
    <row r="19" spans="1:28">
      <c r="A19" t="s">
        <v>23</v>
      </c>
      <c r="B19" s="2">
        <v>45689</v>
      </c>
      <c r="C19" t="s">
        <v>24</v>
      </c>
      <c r="D19">
        <f t="shared" si="0"/>
        <v>0</v>
      </c>
      <c r="E19">
        <f t="shared" si="1"/>
        <v>1</v>
      </c>
      <c r="F19">
        <f t="shared" si="2"/>
        <v>0</v>
      </c>
      <c r="G19" t="s">
        <v>16</v>
      </c>
      <c r="H19">
        <v>59117.9</v>
      </c>
      <c r="I19">
        <v>4263</v>
      </c>
      <c r="J19">
        <v>0.11899999999999999</v>
      </c>
      <c r="K19">
        <v>9</v>
      </c>
      <c r="L19">
        <v>87.6</v>
      </c>
      <c r="M19">
        <v>4.01</v>
      </c>
      <c r="N19">
        <v>0</v>
      </c>
      <c r="O19">
        <v>3.6</v>
      </c>
      <c r="P19">
        <v>573155.18999999994</v>
      </c>
      <c r="Q19">
        <v>83680.75</v>
      </c>
      <c r="U19">
        <v>0</v>
      </c>
      <c r="V19">
        <v>1</v>
      </c>
      <c r="W19">
        <v>0</v>
      </c>
      <c r="X19">
        <v>59117.9</v>
      </c>
      <c r="Y19">
        <v>4263</v>
      </c>
      <c r="Z19">
        <v>87.6</v>
      </c>
      <c r="AA19">
        <v>3.6</v>
      </c>
      <c r="AB19">
        <f t="shared" si="3"/>
        <v>611463.78034842049</v>
      </c>
    </row>
    <row r="20" spans="1:28">
      <c r="A20" t="s">
        <v>23</v>
      </c>
      <c r="B20" s="2">
        <v>45717</v>
      </c>
      <c r="C20" t="s">
        <v>24</v>
      </c>
      <c r="D20">
        <f t="shared" si="0"/>
        <v>0</v>
      </c>
      <c r="E20">
        <f t="shared" si="1"/>
        <v>1</v>
      </c>
      <c r="F20">
        <f t="shared" si="2"/>
        <v>0</v>
      </c>
      <c r="G20" t="s">
        <v>16</v>
      </c>
      <c r="H20">
        <v>78831.12</v>
      </c>
      <c r="I20">
        <v>5538</v>
      </c>
      <c r="J20">
        <v>0</v>
      </c>
      <c r="K20">
        <v>15</v>
      </c>
      <c r="L20">
        <v>94.1</v>
      </c>
      <c r="M20">
        <v>0.2</v>
      </c>
      <c r="N20">
        <v>0</v>
      </c>
      <c r="O20">
        <v>3.9</v>
      </c>
      <c r="P20">
        <v>666573.19999999995</v>
      </c>
      <c r="Q20">
        <v>140641.01999999999</v>
      </c>
      <c r="U20">
        <v>0</v>
      </c>
      <c r="V20">
        <v>1</v>
      </c>
      <c r="W20">
        <v>0</v>
      </c>
      <c r="X20">
        <v>78831.12</v>
      </c>
      <c r="Y20">
        <v>5538</v>
      </c>
      <c r="Z20">
        <v>94.1</v>
      </c>
      <c r="AA20">
        <v>3.9</v>
      </c>
      <c r="AB20">
        <f t="shared" si="3"/>
        <v>700565.65968840115</v>
      </c>
    </row>
    <row r="21" spans="1:28">
      <c r="A21" t="s">
        <v>23</v>
      </c>
      <c r="B21" s="2">
        <v>45748</v>
      </c>
      <c r="C21" t="s">
        <v>24</v>
      </c>
      <c r="D21">
        <f t="shared" si="0"/>
        <v>0</v>
      </c>
      <c r="E21">
        <f t="shared" si="1"/>
        <v>1</v>
      </c>
      <c r="F21">
        <f t="shared" si="2"/>
        <v>0</v>
      </c>
      <c r="G21" t="s">
        <v>16</v>
      </c>
      <c r="H21">
        <v>41441.93</v>
      </c>
      <c r="I21">
        <v>4865</v>
      </c>
      <c r="J21">
        <v>0.158</v>
      </c>
      <c r="K21">
        <v>16</v>
      </c>
      <c r="L21">
        <v>88.3</v>
      </c>
      <c r="M21">
        <v>0.5</v>
      </c>
      <c r="N21">
        <v>0</v>
      </c>
      <c r="O21">
        <v>4</v>
      </c>
      <c r="P21">
        <v>591619.94999999995</v>
      </c>
      <c r="Q21">
        <v>99521.35</v>
      </c>
      <c r="U21">
        <v>0</v>
      </c>
      <c r="V21">
        <v>1</v>
      </c>
      <c r="W21">
        <v>0</v>
      </c>
      <c r="X21">
        <v>41441.93</v>
      </c>
      <c r="Y21">
        <v>4865</v>
      </c>
      <c r="Z21">
        <v>88.3</v>
      </c>
      <c r="AA21">
        <v>4</v>
      </c>
      <c r="AB21">
        <f t="shared" si="3"/>
        <v>617101.6651475057</v>
      </c>
    </row>
    <row r="22" spans="1:28">
      <c r="A22" t="s">
        <v>25</v>
      </c>
      <c r="B22" s="2">
        <v>45658</v>
      </c>
      <c r="C22" t="s">
        <v>20</v>
      </c>
      <c r="D22">
        <f t="shared" si="0"/>
        <v>1</v>
      </c>
      <c r="E22">
        <f t="shared" si="1"/>
        <v>0</v>
      </c>
      <c r="F22">
        <f t="shared" si="2"/>
        <v>0</v>
      </c>
      <c r="G22" t="s">
        <v>16</v>
      </c>
      <c r="H22">
        <v>30356.28</v>
      </c>
      <c r="I22">
        <v>2822</v>
      </c>
      <c r="J22">
        <v>0.23100000000000001</v>
      </c>
      <c r="K22">
        <v>9</v>
      </c>
      <c r="L22">
        <v>84.8</v>
      </c>
      <c r="M22">
        <v>6.95</v>
      </c>
      <c r="N22">
        <v>0</v>
      </c>
      <c r="O22">
        <v>5</v>
      </c>
      <c r="P22">
        <v>415721.82</v>
      </c>
      <c r="Q22">
        <v>61179.15</v>
      </c>
      <c r="U22">
        <v>1</v>
      </c>
      <c r="V22">
        <v>0</v>
      </c>
      <c r="W22">
        <v>0</v>
      </c>
      <c r="X22">
        <v>30356.28</v>
      </c>
      <c r="Y22">
        <v>2822</v>
      </c>
      <c r="Z22">
        <v>84.8</v>
      </c>
      <c r="AA22">
        <v>5</v>
      </c>
      <c r="AB22">
        <f t="shared" si="3"/>
        <v>521959.96901706123</v>
      </c>
    </row>
    <row r="23" spans="1:28">
      <c r="A23" t="s">
        <v>25</v>
      </c>
      <c r="B23" s="2">
        <v>45689</v>
      </c>
      <c r="C23" t="s">
        <v>20</v>
      </c>
      <c r="D23">
        <f t="shared" si="0"/>
        <v>1</v>
      </c>
      <c r="E23">
        <f t="shared" si="1"/>
        <v>0</v>
      </c>
      <c r="F23">
        <f t="shared" si="2"/>
        <v>0</v>
      </c>
      <c r="G23" t="s">
        <v>16</v>
      </c>
      <c r="H23">
        <v>33518.879999999997</v>
      </c>
      <c r="I23">
        <v>2121</v>
      </c>
      <c r="J23">
        <v>0.17599999999999999</v>
      </c>
      <c r="K23">
        <v>8</v>
      </c>
      <c r="L23">
        <v>88.5</v>
      </c>
      <c r="M23">
        <v>0.2</v>
      </c>
      <c r="N23">
        <v>0</v>
      </c>
      <c r="O23">
        <v>5</v>
      </c>
      <c r="P23">
        <v>491905.13</v>
      </c>
      <c r="Q23">
        <v>79212.259999999995</v>
      </c>
      <c r="U23">
        <v>1</v>
      </c>
      <c r="V23">
        <v>0</v>
      </c>
      <c r="W23">
        <v>0</v>
      </c>
      <c r="X23">
        <v>33518.879999999997</v>
      </c>
      <c r="Y23">
        <v>2121</v>
      </c>
      <c r="Z23">
        <v>88.5</v>
      </c>
      <c r="AA23">
        <v>5</v>
      </c>
      <c r="AB23">
        <f t="shared" si="3"/>
        <v>512620.23335846892</v>
      </c>
    </row>
    <row r="24" spans="1:28">
      <c r="A24" t="s">
        <v>25</v>
      </c>
      <c r="B24" s="2">
        <v>45717</v>
      </c>
      <c r="C24" t="s">
        <v>20</v>
      </c>
      <c r="D24">
        <f t="shared" si="0"/>
        <v>1</v>
      </c>
      <c r="E24">
        <f t="shared" si="1"/>
        <v>0</v>
      </c>
      <c r="F24">
        <f t="shared" si="2"/>
        <v>0</v>
      </c>
      <c r="G24" t="s">
        <v>16</v>
      </c>
      <c r="H24">
        <v>42267.37</v>
      </c>
      <c r="I24">
        <v>3364</v>
      </c>
      <c r="J24">
        <v>0.16</v>
      </c>
      <c r="K24">
        <v>13</v>
      </c>
      <c r="L24">
        <v>82</v>
      </c>
      <c r="M24">
        <v>1.61</v>
      </c>
      <c r="N24">
        <v>1</v>
      </c>
      <c r="O24">
        <v>4.5999999999999996</v>
      </c>
      <c r="P24">
        <v>555929.4</v>
      </c>
      <c r="Q24">
        <v>115201.76</v>
      </c>
      <c r="U24">
        <v>1</v>
      </c>
      <c r="V24">
        <v>0</v>
      </c>
      <c r="W24">
        <v>0</v>
      </c>
      <c r="X24">
        <v>42267.37</v>
      </c>
      <c r="Y24">
        <v>3364</v>
      </c>
      <c r="Z24">
        <v>82</v>
      </c>
      <c r="AA24">
        <v>4.5999999999999996</v>
      </c>
      <c r="AB24">
        <f t="shared" si="3"/>
        <v>542206.96907846106</v>
      </c>
    </row>
    <row r="25" spans="1:28">
      <c r="A25" t="s">
        <v>25</v>
      </c>
      <c r="B25" s="2">
        <v>45748</v>
      </c>
      <c r="C25" t="s">
        <v>20</v>
      </c>
      <c r="D25">
        <f t="shared" si="0"/>
        <v>1</v>
      </c>
      <c r="E25">
        <f t="shared" si="1"/>
        <v>0</v>
      </c>
      <c r="F25">
        <f t="shared" si="2"/>
        <v>0</v>
      </c>
      <c r="G25" t="s">
        <v>16</v>
      </c>
      <c r="H25">
        <v>62060.43</v>
      </c>
      <c r="I25">
        <v>2613</v>
      </c>
      <c r="J25">
        <v>0.216</v>
      </c>
      <c r="K25">
        <v>12</v>
      </c>
      <c r="L25">
        <v>92.1</v>
      </c>
      <c r="M25">
        <v>1.55</v>
      </c>
      <c r="N25">
        <v>0</v>
      </c>
      <c r="O25">
        <v>4.7</v>
      </c>
      <c r="P25">
        <v>565810.99</v>
      </c>
      <c r="Q25">
        <v>77825.460000000006</v>
      </c>
      <c r="U25">
        <v>1</v>
      </c>
      <c r="V25">
        <v>0</v>
      </c>
      <c r="W25">
        <v>0</v>
      </c>
      <c r="X25">
        <v>62060.43</v>
      </c>
      <c r="Y25">
        <v>2613</v>
      </c>
      <c r="Z25">
        <v>92.1</v>
      </c>
      <c r="AA25">
        <v>4.7</v>
      </c>
      <c r="AB25">
        <f t="shared" si="3"/>
        <v>570739.98101300164</v>
      </c>
    </row>
    <row r="26" spans="1:28">
      <c r="A26" t="s">
        <v>26</v>
      </c>
      <c r="B26" s="2">
        <v>45658</v>
      </c>
      <c r="C26" t="s">
        <v>27</v>
      </c>
      <c r="D26">
        <f t="shared" si="0"/>
        <v>0</v>
      </c>
      <c r="E26">
        <f t="shared" si="1"/>
        <v>0</v>
      </c>
      <c r="F26">
        <f t="shared" si="2"/>
        <v>1</v>
      </c>
      <c r="G26" t="s">
        <v>28</v>
      </c>
      <c r="H26">
        <v>57696.69</v>
      </c>
      <c r="I26">
        <v>10218</v>
      </c>
      <c r="J26">
        <v>0.121</v>
      </c>
      <c r="K26">
        <v>25</v>
      </c>
      <c r="L26">
        <v>94.8</v>
      </c>
      <c r="M26">
        <v>2.99</v>
      </c>
      <c r="N26">
        <v>0</v>
      </c>
      <c r="O26">
        <v>3.5</v>
      </c>
      <c r="P26">
        <v>811771.14</v>
      </c>
      <c r="Q26">
        <v>148756.24</v>
      </c>
      <c r="U26">
        <v>0</v>
      </c>
      <c r="V26">
        <v>0</v>
      </c>
      <c r="W26">
        <v>1</v>
      </c>
      <c r="X26">
        <v>57696.69</v>
      </c>
      <c r="Y26">
        <v>10218</v>
      </c>
      <c r="Z26">
        <v>94.8</v>
      </c>
      <c r="AA26">
        <v>3.5</v>
      </c>
      <c r="AB26">
        <f t="shared" si="3"/>
        <v>826883.74912886554</v>
      </c>
    </row>
    <row r="27" spans="1:28">
      <c r="A27" t="s">
        <v>26</v>
      </c>
      <c r="B27" s="2">
        <v>45689</v>
      </c>
      <c r="C27" t="s">
        <v>27</v>
      </c>
      <c r="D27">
        <f t="shared" si="0"/>
        <v>0</v>
      </c>
      <c r="E27">
        <f t="shared" si="1"/>
        <v>0</v>
      </c>
      <c r="F27">
        <f t="shared" si="2"/>
        <v>1</v>
      </c>
      <c r="G27" t="s">
        <v>28</v>
      </c>
      <c r="H27">
        <v>172415.52</v>
      </c>
      <c r="I27">
        <v>8927</v>
      </c>
      <c r="J27">
        <v>0.14000000000000001</v>
      </c>
      <c r="K27">
        <v>22</v>
      </c>
      <c r="L27">
        <v>86.2</v>
      </c>
      <c r="M27">
        <v>7.04</v>
      </c>
      <c r="N27">
        <v>0</v>
      </c>
      <c r="O27">
        <v>3.9</v>
      </c>
      <c r="P27">
        <v>800451.94</v>
      </c>
      <c r="Q27">
        <v>111572.29</v>
      </c>
      <c r="U27">
        <v>0</v>
      </c>
      <c r="V27">
        <v>0</v>
      </c>
      <c r="W27">
        <v>1</v>
      </c>
      <c r="X27">
        <v>172415.52</v>
      </c>
      <c r="Y27">
        <v>8927</v>
      </c>
      <c r="Z27">
        <v>86.2</v>
      </c>
      <c r="AA27">
        <v>3.9</v>
      </c>
      <c r="AB27">
        <f t="shared" si="3"/>
        <v>900517.54676750558</v>
      </c>
    </row>
    <row r="28" spans="1:28">
      <c r="A28" t="s">
        <v>26</v>
      </c>
      <c r="B28" s="2">
        <v>45717</v>
      </c>
      <c r="C28" t="s">
        <v>27</v>
      </c>
      <c r="D28">
        <f t="shared" si="0"/>
        <v>0</v>
      </c>
      <c r="E28">
        <f t="shared" si="1"/>
        <v>0</v>
      </c>
      <c r="F28">
        <f t="shared" si="2"/>
        <v>1</v>
      </c>
      <c r="G28" t="s">
        <v>28</v>
      </c>
      <c r="H28">
        <v>55270.52</v>
      </c>
      <c r="I28">
        <v>9315</v>
      </c>
      <c r="J28">
        <v>0.16900000000000001</v>
      </c>
      <c r="K28">
        <v>23</v>
      </c>
      <c r="L28">
        <v>91.9</v>
      </c>
      <c r="M28">
        <v>4.9400000000000004</v>
      </c>
      <c r="N28">
        <v>0</v>
      </c>
      <c r="O28">
        <v>4</v>
      </c>
      <c r="P28">
        <v>783672.82</v>
      </c>
      <c r="Q28">
        <v>112577.14</v>
      </c>
      <c r="U28">
        <v>0</v>
      </c>
      <c r="V28">
        <v>0</v>
      </c>
      <c r="W28">
        <v>1</v>
      </c>
      <c r="X28">
        <v>55270.52</v>
      </c>
      <c r="Y28">
        <v>9315</v>
      </c>
      <c r="Z28">
        <v>91.9</v>
      </c>
      <c r="AA28">
        <v>4</v>
      </c>
      <c r="AB28">
        <f t="shared" si="3"/>
        <v>790420.01051062543</v>
      </c>
    </row>
    <row r="29" spans="1:28">
      <c r="A29" t="s">
        <v>26</v>
      </c>
      <c r="B29" s="2">
        <v>45748</v>
      </c>
      <c r="C29" t="s">
        <v>27</v>
      </c>
      <c r="D29">
        <f t="shared" si="0"/>
        <v>0</v>
      </c>
      <c r="E29">
        <f t="shared" si="1"/>
        <v>0</v>
      </c>
      <c r="F29">
        <f t="shared" si="2"/>
        <v>1</v>
      </c>
      <c r="G29" t="s">
        <v>28</v>
      </c>
      <c r="H29">
        <v>52715.1</v>
      </c>
      <c r="I29">
        <v>7223</v>
      </c>
      <c r="J29">
        <v>0.122</v>
      </c>
      <c r="K29">
        <v>16</v>
      </c>
      <c r="L29">
        <v>84.2</v>
      </c>
      <c r="M29">
        <v>16.149999999999999</v>
      </c>
      <c r="N29">
        <v>0</v>
      </c>
      <c r="O29">
        <v>3.7</v>
      </c>
      <c r="P29">
        <v>701641.97</v>
      </c>
      <c r="Q29">
        <v>106111.86</v>
      </c>
      <c r="U29">
        <v>0</v>
      </c>
      <c r="V29">
        <v>0</v>
      </c>
      <c r="W29">
        <v>1</v>
      </c>
      <c r="X29">
        <v>52715.1</v>
      </c>
      <c r="Y29">
        <v>7223</v>
      </c>
      <c r="Z29">
        <v>84.2</v>
      </c>
      <c r="AA29">
        <v>3.7</v>
      </c>
      <c r="AB29">
        <f t="shared" si="3"/>
        <v>690717.27807636769</v>
      </c>
    </row>
    <row r="30" spans="1:28">
      <c r="A30" t="s">
        <v>29</v>
      </c>
      <c r="B30" s="2">
        <v>45658</v>
      </c>
      <c r="C30" t="s">
        <v>15</v>
      </c>
      <c r="D30">
        <f t="shared" si="0"/>
        <v>0</v>
      </c>
      <c r="E30">
        <f t="shared" si="1"/>
        <v>0</v>
      </c>
      <c r="F30">
        <f t="shared" si="2"/>
        <v>0</v>
      </c>
      <c r="G30" t="s">
        <v>16</v>
      </c>
      <c r="H30">
        <v>68600.62</v>
      </c>
      <c r="I30">
        <v>3988</v>
      </c>
      <c r="J30">
        <v>0.124</v>
      </c>
      <c r="K30">
        <v>11</v>
      </c>
      <c r="L30">
        <v>85</v>
      </c>
      <c r="M30">
        <v>0.48</v>
      </c>
      <c r="N30">
        <v>0</v>
      </c>
      <c r="O30">
        <v>3.6</v>
      </c>
      <c r="P30">
        <v>511844.41</v>
      </c>
      <c r="Q30">
        <v>72774.44</v>
      </c>
      <c r="U30">
        <v>0</v>
      </c>
      <c r="V30">
        <v>0</v>
      </c>
      <c r="W30">
        <v>0</v>
      </c>
      <c r="X30">
        <v>68600.62</v>
      </c>
      <c r="Y30">
        <v>3988</v>
      </c>
      <c r="Z30">
        <v>85</v>
      </c>
      <c r="AA30">
        <v>3.6</v>
      </c>
      <c r="AB30">
        <f t="shared" si="3"/>
        <v>584041.00132073311</v>
      </c>
    </row>
    <row r="31" spans="1:28">
      <c r="A31" t="s">
        <v>29</v>
      </c>
      <c r="B31" s="2">
        <v>45689</v>
      </c>
      <c r="C31" t="s">
        <v>15</v>
      </c>
      <c r="D31">
        <f t="shared" si="0"/>
        <v>0</v>
      </c>
      <c r="E31">
        <f t="shared" si="1"/>
        <v>0</v>
      </c>
      <c r="F31">
        <f t="shared" si="2"/>
        <v>0</v>
      </c>
      <c r="G31" t="s">
        <v>16</v>
      </c>
      <c r="H31">
        <v>63176.73</v>
      </c>
      <c r="I31">
        <v>2390</v>
      </c>
      <c r="J31">
        <v>0.216</v>
      </c>
      <c r="K31">
        <v>9</v>
      </c>
      <c r="L31">
        <v>87.5</v>
      </c>
      <c r="M31">
        <v>0.31</v>
      </c>
      <c r="N31">
        <v>0</v>
      </c>
      <c r="O31">
        <v>3.1</v>
      </c>
      <c r="P31">
        <v>537383.79</v>
      </c>
      <c r="Q31">
        <v>63773.27</v>
      </c>
      <c r="U31">
        <v>0</v>
      </c>
      <c r="V31">
        <v>0</v>
      </c>
      <c r="W31">
        <v>0</v>
      </c>
      <c r="X31">
        <v>63176.73</v>
      </c>
      <c r="Y31">
        <v>2390</v>
      </c>
      <c r="Z31">
        <v>87.5</v>
      </c>
      <c r="AA31">
        <v>3.1</v>
      </c>
      <c r="AB31">
        <f t="shared" si="3"/>
        <v>524917.50233944051</v>
      </c>
    </row>
    <row r="32" spans="1:28">
      <c r="A32" t="s">
        <v>29</v>
      </c>
      <c r="B32" s="2">
        <v>45717</v>
      </c>
      <c r="C32" t="s">
        <v>15</v>
      </c>
      <c r="D32">
        <f t="shared" si="0"/>
        <v>0</v>
      </c>
      <c r="E32">
        <f t="shared" si="1"/>
        <v>0</v>
      </c>
      <c r="F32">
        <f t="shared" si="2"/>
        <v>0</v>
      </c>
      <c r="G32" t="s">
        <v>16</v>
      </c>
      <c r="H32">
        <v>44970.080000000002</v>
      </c>
      <c r="I32">
        <v>2471</v>
      </c>
      <c r="J32">
        <v>0.13600000000000001</v>
      </c>
      <c r="K32">
        <v>11</v>
      </c>
      <c r="L32">
        <v>87.6</v>
      </c>
      <c r="M32">
        <v>3.01</v>
      </c>
      <c r="N32">
        <v>1</v>
      </c>
      <c r="O32">
        <v>3.7</v>
      </c>
      <c r="P32">
        <v>500173.02</v>
      </c>
      <c r="Q32">
        <v>70982.05</v>
      </c>
      <c r="U32">
        <v>0</v>
      </c>
      <c r="V32">
        <v>0</v>
      </c>
      <c r="W32">
        <v>0</v>
      </c>
      <c r="X32">
        <v>44970.080000000002</v>
      </c>
      <c r="Y32">
        <v>2471</v>
      </c>
      <c r="Z32">
        <v>87.6</v>
      </c>
      <c r="AA32">
        <v>3.7</v>
      </c>
      <c r="AB32">
        <f t="shared" si="3"/>
        <v>512684.52433322003</v>
      </c>
    </row>
    <row r="33" spans="1:28">
      <c r="A33" t="s">
        <v>29</v>
      </c>
      <c r="B33" s="2">
        <v>45748</v>
      </c>
      <c r="C33" t="s">
        <v>15</v>
      </c>
      <c r="D33">
        <f t="shared" si="0"/>
        <v>0</v>
      </c>
      <c r="E33">
        <f t="shared" si="1"/>
        <v>0</v>
      </c>
      <c r="F33">
        <f t="shared" si="2"/>
        <v>0</v>
      </c>
      <c r="G33" t="s">
        <v>16</v>
      </c>
      <c r="H33">
        <v>69816.350000000006</v>
      </c>
      <c r="I33">
        <v>971</v>
      </c>
      <c r="J33">
        <v>0.16800000000000001</v>
      </c>
      <c r="K33">
        <v>5</v>
      </c>
      <c r="L33">
        <v>89.9</v>
      </c>
      <c r="M33">
        <v>12.15</v>
      </c>
      <c r="N33">
        <v>0</v>
      </c>
      <c r="O33">
        <v>3.6</v>
      </c>
      <c r="P33">
        <v>427917.38</v>
      </c>
      <c r="Q33">
        <v>81824.31</v>
      </c>
      <c r="U33">
        <v>0</v>
      </c>
      <c r="V33">
        <v>0</v>
      </c>
      <c r="W33">
        <v>0</v>
      </c>
      <c r="X33">
        <v>69816.350000000006</v>
      </c>
      <c r="Y33">
        <v>971</v>
      </c>
      <c r="Z33">
        <v>89.9</v>
      </c>
      <c r="AA33">
        <v>3.6</v>
      </c>
      <c r="AB33">
        <f t="shared" si="3"/>
        <v>497117.13921112759</v>
      </c>
    </row>
    <row r="34" spans="1:28">
      <c r="A34" t="s">
        <v>30</v>
      </c>
      <c r="B34" s="2">
        <v>45658</v>
      </c>
      <c r="C34" t="s">
        <v>20</v>
      </c>
      <c r="D34">
        <f t="shared" si="0"/>
        <v>1</v>
      </c>
      <c r="E34">
        <f t="shared" si="1"/>
        <v>0</v>
      </c>
      <c r="F34">
        <f t="shared" si="2"/>
        <v>0</v>
      </c>
      <c r="G34" t="s">
        <v>16</v>
      </c>
      <c r="H34">
        <v>54597.83</v>
      </c>
      <c r="I34">
        <v>9429</v>
      </c>
      <c r="J34">
        <v>0.188</v>
      </c>
      <c r="K34">
        <v>21</v>
      </c>
      <c r="L34">
        <v>83.3</v>
      </c>
      <c r="M34">
        <v>11.71</v>
      </c>
      <c r="N34">
        <v>0</v>
      </c>
      <c r="O34">
        <v>4.2</v>
      </c>
      <c r="P34">
        <v>641865.03</v>
      </c>
      <c r="Q34">
        <v>81342.58</v>
      </c>
      <c r="U34">
        <v>1</v>
      </c>
      <c r="V34">
        <v>0</v>
      </c>
      <c r="W34">
        <v>0</v>
      </c>
      <c r="X34">
        <v>54597.83</v>
      </c>
      <c r="Y34">
        <v>9429</v>
      </c>
      <c r="Z34">
        <v>83.3</v>
      </c>
      <c r="AA34">
        <v>4.2</v>
      </c>
      <c r="AB34">
        <f t="shared" si="3"/>
        <v>762488.82761074405</v>
      </c>
    </row>
    <row r="35" spans="1:28">
      <c r="A35" t="s">
        <v>30</v>
      </c>
      <c r="B35" s="2">
        <v>45689</v>
      </c>
      <c r="C35" t="s">
        <v>20</v>
      </c>
      <c r="D35">
        <f t="shared" si="0"/>
        <v>1</v>
      </c>
      <c r="E35">
        <f t="shared" si="1"/>
        <v>0</v>
      </c>
      <c r="F35">
        <f t="shared" si="2"/>
        <v>0</v>
      </c>
      <c r="G35" t="s">
        <v>16</v>
      </c>
      <c r="H35">
        <v>73771.91</v>
      </c>
      <c r="I35">
        <v>11695</v>
      </c>
      <c r="J35">
        <v>7.0000000000000007E-2</v>
      </c>
      <c r="K35">
        <v>25</v>
      </c>
      <c r="L35">
        <v>84.7</v>
      </c>
      <c r="M35">
        <v>0.62</v>
      </c>
      <c r="N35">
        <v>0</v>
      </c>
      <c r="O35">
        <v>3.92</v>
      </c>
      <c r="P35">
        <v>799477.76000000001</v>
      </c>
      <c r="Q35">
        <v>164974.41</v>
      </c>
      <c r="U35">
        <v>1</v>
      </c>
      <c r="V35">
        <v>0</v>
      </c>
      <c r="W35">
        <v>0</v>
      </c>
      <c r="X35">
        <v>73771.91</v>
      </c>
      <c r="Y35">
        <v>11695</v>
      </c>
      <c r="Z35">
        <v>84.7</v>
      </c>
      <c r="AA35">
        <v>3.92</v>
      </c>
      <c r="AB35">
        <f t="shared" si="3"/>
        <v>863504.07003821817</v>
      </c>
    </row>
    <row r="36" spans="1:28">
      <c r="A36" t="s">
        <v>30</v>
      </c>
      <c r="B36" s="2">
        <v>45717</v>
      </c>
      <c r="C36" t="s">
        <v>20</v>
      </c>
      <c r="D36">
        <f t="shared" si="0"/>
        <v>1</v>
      </c>
      <c r="E36">
        <f t="shared" si="1"/>
        <v>0</v>
      </c>
      <c r="F36">
        <f t="shared" si="2"/>
        <v>0</v>
      </c>
      <c r="G36" t="s">
        <v>16</v>
      </c>
      <c r="H36">
        <v>74413.88</v>
      </c>
      <c r="I36">
        <v>9449</v>
      </c>
      <c r="J36">
        <v>3.9E-2</v>
      </c>
      <c r="K36">
        <v>23</v>
      </c>
      <c r="L36">
        <v>92.1</v>
      </c>
      <c r="M36">
        <v>2.12</v>
      </c>
      <c r="N36">
        <v>0</v>
      </c>
      <c r="O36">
        <v>3.5</v>
      </c>
      <c r="P36">
        <v>798952.17</v>
      </c>
      <c r="Q36">
        <v>161499.04</v>
      </c>
      <c r="U36">
        <v>1</v>
      </c>
      <c r="V36">
        <v>0</v>
      </c>
      <c r="W36">
        <v>0</v>
      </c>
      <c r="X36">
        <v>74413.88</v>
      </c>
      <c r="Y36">
        <v>9449</v>
      </c>
      <c r="Z36">
        <v>92.1</v>
      </c>
      <c r="AA36">
        <v>3.5</v>
      </c>
      <c r="AB36">
        <f t="shared" si="3"/>
        <v>804678.59407682903</v>
      </c>
    </row>
    <row r="37" spans="1:28">
      <c r="A37" t="s">
        <v>30</v>
      </c>
      <c r="B37" s="2">
        <v>45748</v>
      </c>
      <c r="C37" t="s">
        <v>20</v>
      </c>
      <c r="D37">
        <f t="shared" si="0"/>
        <v>1</v>
      </c>
      <c r="E37">
        <f t="shared" si="1"/>
        <v>0</v>
      </c>
      <c r="F37">
        <f t="shared" si="2"/>
        <v>0</v>
      </c>
      <c r="G37" t="s">
        <v>16</v>
      </c>
      <c r="H37">
        <v>52483.77</v>
      </c>
      <c r="I37">
        <v>10453</v>
      </c>
      <c r="J37">
        <v>0.247</v>
      </c>
      <c r="K37">
        <v>25</v>
      </c>
      <c r="L37">
        <v>99</v>
      </c>
      <c r="M37">
        <v>6.31</v>
      </c>
      <c r="N37">
        <v>0</v>
      </c>
      <c r="O37">
        <v>3.6</v>
      </c>
      <c r="P37">
        <v>800979.78</v>
      </c>
      <c r="Q37">
        <v>149242.26999999999</v>
      </c>
      <c r="U37">
        <v>1</v>
      </c>
      <c r="V37">
        <v>0</v>
      </c>
      <c r="W37">
        <v>0</v>
      </c>
      <c r="X37">
        <v>52483.77</v>
      </c>
      <c r="Y37">
        <v>10453</v>
      </c>
      <c r="Z37">
        <v>99</v>
      </c>
      <c r="AA37">
        <v>3.6</v>
      </c>
      <c r="AB37">
        <f t="shared" si="3"/>
        <v>833453.76872819767</v>
      </c>
    </row>
    <row r="38" spans="1:28">
      <c r="A38" t="s">
        <v>31</v>
      </c>
      <c r="B38" s="2">
        <v>45658</v>
      </c>
      <c r="C38" t="s">
        <v>20</v>
      </c>
      <c r="D38">
        <f t="shared" si="0"/>
        <v>1</v>
      </c>
      <c r="E38">
        <f t="shared" si="1"/>
        <v>0</v>
      </c>
      <c r="F38">
        <f t="shared" si="2"/>
        <v>0</v>
      </c>
      <c r="G38" t="s">
        <v>28</v>
      </c>
      <c r="H38">
        <v>75269.87</v>
      </c>
      <c r="I38">
        <v>8838</v>
      </c>
      <c r="J38">
        <v>9.1999999999999998E-2</v>
      </c>
      <c r="K38">
        <v>21</v>
      </c>
      <c r="L38">
        <v>83.1</v>
      </c>
      <c r="M38">
        <v>9.56</v>
      </c>
      <c r="N38">
        <v>1</v>
      </c>
      <c r="O38">
        <v>4.2</v>
      </c>
      <c r="P38">
        <v>820593.93</v>
      </c>
      <c r="Q38">
        <v>115860.06</v>
      </c>
      <c r="U38">
        <v>1</v>
      </c>
      <c r="V38">
        <v>0</v>
      </c>
      <c r="W38">
        <v>0</v>
      </c>
      <c r="X38">
        <v>75269.87</v>
      </c>
      <c r="Y38">
        <v>8838</v>
      </c>
      <c r="Z38">
        <v>83.1</v>
      </c>
      <c r="AA38">
        <v>4.2</v>
      </c>
      <c r="AB38">
        <f t="shared" si="3"/>
        <v>766680.22838112118</v>
      </c>
    </row>
    <row r="39" spans="1:28">
      <c r="A39" t="s">
        <v>31</v>
      </c>
      <c r="B39" s="2">
        <v>45689</v>
      </c>
      <c r="C39" t="s">
        <v>20</v>
      </c>
      <c r="D39">
        <f t="shared" si="0"/>
        <v>1</v>
      </c>
      <c r="E39">
        <f t="shared" si="1"/>
        <v>0</v>
      </c>
      <c r="F39">
        <f t="shared" si="2"/>
        <v>0</v>
      </c>
      <c r="G39" t="s">
        <v>28</v>
      </c>
      <c r="H39">
        <v>61245.41</v>
      </c>
      <c r="I39">
        <v>8156</v>
      </c>
      <c r="J39">
        <v>0.156</v>
      </c>
      <c r="K39">
        <v>19</v>
      </c>
      <c r="L39">
        <v>92.9</v>
      </c>
      <c r="M39">
        <v>9.0500000000000007</v>
      </c>
      <c r="N39">
        <v>0</v>
      </c>
      <c r="O39">
        <v>3.8</v>
      </c>
      <c r="P39">
        <v>718330.53</v>
      </c>
      <c r="Q39">
        <v>93247.9</v>
      </c>
      <c r="U39">
        <v>1</v>
      </c>
      <c r="V39">
        <v>0</v>
      </c>
      <c r="W39">
        <v>0</v>
      </c>
      <c r="X39">
        <v>61245.41</v>
      </c>
      <c r="Y39">
        <v>8156</v>
      </c>
      <c r="Z39">
        <v>92.9</v>
      </c>
      <c r="AA39">
        <v>3.8</v>
      </c>
      <c r="AB39">
        <f t="shared" si="3"/>
        <v>750521.73441288422</v>
      </c>
    </row>
    <row r="40" spans="1:28">
      <c r="A40" t="s">
        <v>31</v>
      </c>
      <c r="B40" s="2">
        <v>45717</v>
      </c>
      <c r="C40" t="s">
        <v>20</v>
      </c>
      <c r="D40">
        <f t="shared" si="0"/>
        <v>1</v>
      </c>
      <c r="E40">
        <f t="shared" si="1"/>
        <v>0</v>
      </c>
      <c r="F40">
        <f t="shared" si="2"/>
        <v>0</v>
      </c>
      <c r="G40" t="s">
        <v>28</v>
      </c>
      <c r="H40">
        <v>93381.26</v>
      </c>
      <c r="I40">
        <v>7562</v>
      </c>
      <c r="J40">
        <v>0.19800000000000001</v>
      </c>
      <c r="K40">
        <v>19</v>
      </c>
      <c r="L40">
        <v>82.9</v>
      </c>
      <c r="M40">
        <v>5.05</v>
      </c>
      <c r="N40">
        <v>0</v>
      </c>
      <c r="O40">
        <v>4</v>
      </c>
      <c r="P40">
        <v>736633.4</v>
      </c>
      <c r="Q40">
        <v>115654.66</v>
      </c>
      <c r="U40">
        <v>1</v>
      </c>
      <c r="V40">
        <v>0</v>
      </c>
      <c r="W40">
        <v>0</v>
      </c>
      <c r="X40">
        <v>93381.26</v>
      </c>
      <c r="Y40">
        <v>7562</v>
      </c>
      <c r="Z40">
        <v>82.9</v>
      </c>
      <c r="AA40">
        <v>4</v>
      </c>
      <c r="AB40">
        <f t="shared" si="3"/>
        <v>742308.81400619377</v>
      </c>
    </row>
    <row r="41" spans="1:28">
      <c r="A41" t="s">
        <v>31</v>
      </c>
      <c r="B41" s="2">
        <v>45748</v>
      </c>
      <c r="C41" t="s">
        <v>20</v>
      </c>
      <c r="D41">
        <f t="shared" si="0"/>
        <v>1</v>
      </c>
      <c r="E41">
        <f t="shared" si="1"/>
        <v>0</v>
      </c>
      <c r="F41">
        <f t="shared" si="2"/>
        <v>0</v>
      </c>
      <c r="G41" t="s">
        <v>28</v>
      </c>
      <c r="H41">
        <v>65012.19</v>
      </c>
      <c r="I41">
        <v>9598</v>
      </c>
      <c r="J41">
        <v>8.5000000000000006E-2</v>
      </c>
      <c r="K41">
        <v>24</v>
      </c>
      <c r="L41">
        <v>98.3</v>
      </c>
      <c r="M41">
        <v>0.89</v>
      </c>
      <c r="N41">
        <v>0</v>
      </c>
      <c r="O41">
        <v>3.8</v>
      </c>
      <c r="P41">
        <v>828623.85</v>
      </c>
      <c r="Q41">
        <v>167320.51999999999</v>
      </c>
      <c r="U41">
        <v>1</v>
      </c>
      <c r="V41">
        <v>0</v>
      </c>
      <c r="W41">
        <v>0</v>
      </c>
      <c r="X41">
        <v>65012.19</v>
      </c>
      <c r="Y41">
        <v>9598</v>
      </c>
      <c r="Z41">
        <v>98.3</v>
      </c>
      <c r="AA41">
        <v>3.8</v>
      </c>
      <c r="AB41">
        <f t="shared" si="3"/>
        <v>819644.09901639342</v>
      </c>
    </row>
    <row r="42" spans="1:28">
      <c r="A42" t="s">
        <v>32</v>
      </c>
      <c r="B42" s="2">
        <v>45658</v>
      </c>
      <c r="C42" t="s">
        <v>15</v>
      </c>
      <c r="D42">
        <f t="shared" si="0"/>
        <v>0</v>
      </c>
      <c r="E42">
        <f t="shared" si="1"/>
        <v>0</v>
      </c>
      <c r="F42">
        <f t="shared" si="2"/>
        <v>0</v>
      </c>
      <c r="G42" t="s">
        <v>28</v>
      </c>
      <c r="H42">
        <v>40462.94</v>
      </c>
      <c r="I42">
        <v>3660</v>
      </c>
      <c r="J42">
        <v>0.218</v>
      </c>
      <c r="K42">
        <v>11</v>
      </c>
      <c r="L42">
        <v>95.2</v>
      </c>
      <c r="M42">
        <v>5.57</v>
      </c>
      <c r="N42">
        <v>0</v>
      </c>
      <c r="O42">
        <v>4.4000000000000004</v>
      </c>
      <c r="P42">
        <v>592195.85</v>
      </c>
      <c r="Q42">
        <v>92291.56</v>
      </c>
      <c r="U42">
        <v>0</v>
      </c>
      <c r="V42">
        <v>0</v>
      </c>
      <c r="W42">
        <v>0</v>
      </c>
      <c r="X42">
        <v>40462.94</v>
      </c>
      <c r="Y42">
        <v>3660</v>
      </c>
      <c r="Z42">
        <v>95.2</v>
      </c>
      <c r="AA42">
        <v>4.4000000000000004</v>
      </c>
      <c r="AB42">
        <f t="shared" si="3"/>
        <v>577329.6680004854</v>
      </c>
    </row>
    <row r="43" spans="1:28">
      <c r="A43" t="s">
        <v>32</v>
      </c>
      <c r="B43" s="2">
        <v>45689</v>
      </c>
      <c r="C43" t="s">
        <v>15</v>
      </c>
      <c r="D43">
        <f t="shared" si="0"/>
        <v>0</v>
      </c>
      <c r="E43">
        <f t="shared" si="1"/>
        <v>0</v>
      </c>
      <c r="F43">
        <f t="shared" si="2"/>
        <v>0</v>
      </c>
      <c r="G43" t="s">
        <v>28</v>
      </c>
      <c r="H43">
        <v>46123.88</v>
      </c>
      <c r="I43">
        <v>3227</v>
      </c>
      <c r="J43">
        <v>0.14299999999999999</v>
      </c>
      <c r="K43">
        <v>10</v>
      </c>
      <c r="L43">
        <v>75.400000000000006</v>
      </c>
      <c r="M43">
        <v>1.06</v>
      </c>
      <c r="N43">
        <v>0</v>
      </c>
      <c r="O43">
        <v>4.4000000000000004</v>
      </c>
      <c r="P43">
        <v>532644.46</v>
      </c>
      <c r="Q43">
        <v>60681.32</v>
      </c>
      <c r="U43">
        <v>0</v>
      </c>
      <c r="V43">
        <v>0</v>
      </c>
      <c r="W43">
        <v>0</v>
      </c>
      <c r="X43">
        <v>46123.88</v>
      </c>
      <c r="Y43">
        <v>3227</v>
      </c>
      <c r="Z43">
        <v>75.400000000000006</v>
      </c>
      <c r="AA43">
        <v>4.4000000000000004</v>
      </c>
      <c r="AB43">
        <f t="shared" si="3"/>
        <v>512263.1353081289</v>
      </c>
    </row>
    <row r="44" spans="1:28">
      <c r="A44" t="s">
        <v>32</v>
      </c>
      <c r="B44" s="2">
        <v>45717</v>
      </c>
      <c r="C44" t="s">
        <v>15</v>
      </c>
      <c r="D44">
        <f t="shared" si="0"/>
        <v>0</v>
      </c>
      <c r="E44">
        <f t="shared" si="1"/>
        <v>0</v>
      </c>
      <c r="F44">
        <f t="shared" si="2"/>
        <v>0</v>
      </c>
      <c r="G44" t="s">
        <v>28</v>
      </c>
      <c r="H44">
        <v>68077.539999999994</v>
      </c>
      <c r="I44">
        <v>3360</v>
      </c>
      <c r="J44">
        <v>0.128</v>
      </c>
      <c r="K44">
        <v>14</v>
      </c>
      <c r="L44">
        <v>88.2</v>
      </c>
      <c r="M44">
        <v>1.24</v>
      </c>
      <c r="N44">
        <v>1</v>
      </c>
      <c r="O44">
        <v>4</v>
      </c>
      <c r="P44">
        <v>657429.18000000005</v>
      </c>
      <c r="Q44">
        <v>88919.74</v>
      </c>
      <c r="U44">
        <v>0</v>
      </c>
      <c r="V44">
        <v>0</v>
      </c>
      <c r="W44">
        <v>0</v>
      </c>
      <c r="X44">
        <v>68077.539999999994</v>
      </c>
      <c r="Y44">
        <v>3360</v>
      </c>
      <c r="Z44">
        <v>88.2</v>
      </c>
      <c r="AA44">
        <v>4</v>
      </c>
      <c r="AB44">
        <f t="shared" si="3"/>
        <v>575717.55030637502</v>
      </c>
    </row>
    <row r="45" spans="1:28">
      <c r="A45" t="s">
        <v>32</v>
      </c>
      <c r="B45" s="2">
        <v>45748</v>
      </c>
      <c r="C45" t="s">
        <v>15</v>
      </c>
      <c r="D45">
        <f t="shared" si="0"/>
        <v>0</v>
      </c>
      <c r="E45">
        <f t="shared" si="1"/>
        <v>0</v>
      </c>
      <c r="F45">
        <f t="shared" si="2"/>
        <v>0</v>
      </c>
      <c r="G45" t="s">
        <v>28</v>
      </c>
      <c r="H45">
        <v>64882.14</v>
      </c>
      <c r="I45">
        <v>3642</v>
      </c>
      <c r="J45">
        <v>1.9E-2</v>
      </c>
      <c r="K45">
        <v>13</v>
      </c>
      <c r="L45">
        <v>87.8</v>
      </c>
      <c r="M45">
        <v>4.5199999999999996</v>
      </c>
      <c r="N45">
        <v>0</v>
      </c>
      <c r="O45">
        <v>4.2</v>
      </c>
      <c r="P45">
        <v>605178</v>
      </c>
      <c r="Q45">
        <v>106958.74</v>
      </c>
      <c r="U45">
        <v>0</v>
      </c>
      <c r="V45">
        <v>0</v>
      </c>
      <c r="W45">
        <v>0</v>
      </c>
      <c r="X45">
        <v>64882.14</v>
      </c>
      <c r="Y45">
        <v>3642</v>
      </c>
      <c r="Z45">
        <v>87.8</v>
      </c>
      <c r="AA45">
        <v>4.2</v>
      </c>
      <c r="AB45">
        <f t="shared" si="3"/>
        <v>582509.67052416469</v>
      </c>
    </row>
    <row r="46" spans="1:28">
      <c r="A46" t="s">
        <v>33</v>
      </c>
      <c r="B46" s="2">
        <v>45658</v>
      </c>
      <c r="C46" t="s">
        <v>27</v>
      </c>
      <c r="D46">
        <f t="shared" si="0"/>
        <v>0</v>
      </c>
      <c r="E46">
        <f t="shared" si="1"/>
        <v>0</v>
      </c>
      <c r="F46">
        <f t="shared" si="2"/>
        <v>1</v>
      </c>
      <c r="G46" t="s">
        <v>16</v>
      </c>
      <c r="H46">
        <v>138855.51</v>
      </c>
      <c r="I46">
        <v>5145</v>
      </c>
      <c r="J46">
        <v>0.06</v>
      </c>
      <c r="K46">
        <v>17</v>
      </c>
      <c r="L46">
        <v>88.2</v>
      </c>
      <c r="M46">
        <v>9.58</v>
      </c>
      <c r="N46">
        <v>0</v>
      </c>
      <c r="O46">
        <v>3.2</v>
      </c>
      <c r="P46">
        <v>595467.6</v>
      </c>
      <c r="Q46">
        <v>104276.46</v>
      </c>
      <c r="U46">
        <v>0</v>
      </c>
      <c r="V46">
        <v>0</v>
      </c>
      <c r="W46">
        <v>1</v>
      </c>
      <c r="X46">
        <v>138855.51</v>
      </c>
      <c r="Y46">
        <v>5145</v>
      </c>
      <c r="Z46">
        <v>88.2</v>
      </c>
      <c r="AA46">
        <v>3.2</v>
      </c>
      <c r="AB46">
        <f t="shared" si="3"/>
        <v>729696.75809275184</v>
      </c>
    </row>
    <row r="47" spans="1:28">
      <c r="A47" t="s">
        <v>33</v>
      </c>
      <c r="B47" s="2">
        <v>45689</v>
      </c>
      <c r="C47" t="s">
        <v>27</v>
      </c>
      <c r="D47">
        <f t="shared" si="0"/>
        <v>0</v>
      </c>
      <c r="E47">
        <f t="shared" si="1"/>
        <v>0</v>
      </c>
      <c r="F47">
        <f t="shared" si="2"/>
        <v>1</v>
      </c>
      <c r="G47" t="s">
        <v>16</v>
      </c>
      <c r="H47">
        <v>63630.21</v>
      </c>
      <c r="I47">
        <v>4460</v>
      </c>
      <c r="J47">
        <v>0.23499999999999999</v>
      </c>
      <c r="K47">
        <v>14</v>
      </c>
      <c r="L47">
        <v>98.6</v>
      </c>
      <c r="M47">
        <v>5.52</v>
      </c>
      <c r="N47">
        <v>0</v>
      </c>
      <c r="O47">
        <v>3.5</v>
      </c>
      <c r="P47">
        <v>599603.4</v>
      </c>
      <c r="Q47">
        <v>112685.12</v>
      </c>
      <c r="U47">
        <v>0</v>
      </c>
      <c r="V47">
        <v>0</v>
      </c>
      <c r="W47">
        <v>1</v>
      </c>
      <c r="X47">
        <v>63630.21</v>
      </c>
      <c r="Y47">
        <v>4460</v>
      </c>
      <c r="Z47">
        <v>98.6</v>
      </c>
      <c r="AA47">
        <v>3.5</v>
      </c>
      <c r="AB47">
        <f t="shared" si="3"/>
        <v>649305.70501108887</v>
      </c>
    </row>
    <row r="48" spans="1:28">
      <c r="A48" t="s">
        <v>33</v>
      </c>
      <c r="B48" s="2">
        <v>45717</v>
      </c>
      <c r="C48" t="s">
        <v>27</v>
      </c>
      <c r="D48">
        <f t="shared" si="0"/>
        <v>0</v>
      </c>
      <c r="E48">
        <f t="shared" si="1"/>
        <v>0</v>
      </c>
      <c r="F48">
        <f t="shared" si="2"/>
        <v>1</v>
      </c>
      <c r="G48" t="s">
        <v>16</v>
      </c>
      <c r="H48">
        <v>50043.65</v>
      </c>
      <c r="I48">
        <v>3804</v>
      </c>
      <c r="J48">
        <v>0.113</v>
      </c>
      <c r="K48">
        <v>11</v>
      </c>
      <c r="L48">
        <v>90.9</v>
      </c>
      <c r="M48">
        <v>2.7</v>
      </c>
      <c r="N48">
        <v>1</v>
      </c>
      <c r="O48">
        <v>3.2</v>
      </c>
      <c r="P48">
        <v>614800.09</v>
      </c>
      <c r="Q48">
        <v>100044.2</v>
      </c>
      <c r="U48">
        <v>0</v>
      </c>
      <c r="V48">
        <v>0</v>
      </c>
      <c r="W48">
        <v>1</v>
      </c>
      <c r="X48">
        <v>50043.65</v>
      </c>
      <c r="Y48">
        <v>3804</v>
      </c>
      <c r="Z48">
        <v>90.9</v>
      </c>
      <c r="AA48">
        <v>3.2</v>
      </c>
      <c r="AB48">
        <f t="shared" si="3"/>
        <v>585141.91902498237</v>
      </c>
    </row>
    <row r="49" spans="1:28">
      <c r="A49" t="s">
        <v>33</v>
      </c>
      <c r="B49" s="2">
        <v>45748</v>
      </c>
      <c r="C49" t="s">
        <v>27</v>
      </c>
      <c r="D49">
        <f t="shared" si="0"/>
        <v>0</v>
      </c>
      <c r="E49">
        <f t="shared" si="1"/>
        <v>0</v>
      </c>
      <c r="F49">
        <f t="shared" si="2"/>
        <v>1</v>
      </c>
      <c r="G49" t="s">
        <v>16</v>
      </c>
      <c r="H49">
        <v>42093.84</v>
      </c>
      <c r="I49">
        <v>4074</v>
      </c>
      <c r="J49">
        <v>0.155</v>
      </c>
      <c r="K49">
        <v>15</v>
      </c>
      <c r="L49">
        <v>88</v>
      </c>
      <c r="M49">
        <v>9.64</v>
      </c>
      <c r="N49">
        <v>0</v>
      </c>
      <c r="O49">
        <v>3.3</v>
      </c>
      <c r="P49">
        <v>585365.73</v>
      </c>
      <c r="Q49">
        <v>81011.520000000004</v>
      </c>
      <c r="U49">
        <v>0</v>
      </c>
      <c r="V49">
        <v>0</v>
      </c>
      <c r="W49">
        <v>1</v>
      </c>
      <c r="X49">
        <v>42093.84</v>
      </c>
      <c r="Y49">
        <v>4074</v>
      </c>
      <c r="Z49">
        <v>88</v>
      </c>
      <c r="AA49">
        <v>3.3</v>
      </c>
      <c r="AB49">
        <f t="shared" si="3"/>
        <v>577490.79180182377</v>
      </c>
    </row>
    <row r="50" spans="1:28">
      <c r="A50" t="s">
        <v>34</v>
      </c>
      <c r="B50" s="2">
        <v>45658</v>
      </c>
      <c r="C50" t="s">
        <v>20</v>
      </c>
      <c r="D50">
        <f t="shared" si="0"/>
        <v>1</v>
      </c>
      <c r="E50">
        <f t="shared" si="1"/>
        <v>0</v>
      </c>
      <c r="F50">
        <f t="shared" si="2"/>
        <v>0</v>
      </c>
      <c r="G50" t="s">
        <v>28</v>
      </c>
      <c r="H50">
        <v>46624.05</v>
      </c>
      <c r="I50">
        <v>5104</v>
      </c>
      <c r="J50">
        <v>0.109</v>
      </c>
      <c r="K50">
        <v>11</v>
      </c>
      <c r="L50">
        <v>97.3</v>
      </c>
      <c r="M50">
        <v>3.49</v>
      </c>
      <c r="N50">
        <v>1</v>
      </c>
      <c r="O50">
        <v>4.7</v>
      </c>
      <c r="P50">
        <v>622811.74</v>
      </c>
      <c r="Q50">
        <v>109978.35</v>
      </c>
      <c r="U50">
        <v>1</v>
      </c>
      <c r="V50">
        <v>0</v>
      </c>
      <c r="W50">
        <v>0</v>
      </c>
      <c r="X50">
        <v>46624.05</v>
      </c>
      <c r="Y50">
        <v>5104</v>
      </c>
      <c r="Z50">
        <v>97.3</v>
      </c>
      <c r="AA50">
        <v>4.7</v>
      </c>
      <c r="AB50">
        <f t="shared" si="3"/>
        <v>651847.03577341279</v>
      </c>
    </row>
    <row r="51" spans="1:28">
      <c r="A51" t="s">
        <v>34</v>
      </c>
      <c r="B51" s="2">
        <v>45689</v>
      </c>
      <c r="C51" t="s">
        <v>20</v>
      </c>
      <c r="D51">
        <f t="shared" si="0"/>
        <v>1</v>
      </c>
      <c r="E51">
        <f t="shared" si="1"/>
        <v>0</v>
      </c>
      <c r="F51">
        <f t="shared" si="2"/>
        <v>0</v>
      </c>
      <c r="G51" t="s">
        <v>28</v>
      </c>
      <c r="H51">
        <v>49710.29</v>
      </c>
      <c r="I51">
        <v>5559</v>
      </c>
      <c r="J51">
        <v>0.218</v>
      </c>
      <c r="K51">
        <v>14</v>
      </c>
      <c r="L51">
        <v>71</v>
      </c>
      <c r="M51">
        <v>9.11</v>
      </c>
      <c r="N51">
        <v>0</v>
      </c>
      <c r="O51">
        <v>4.5999999999999996</v>
      </c>
      <c r="P51">
        <v>603297.56999999995</v>
      </c>
      <c r="Q51">
        <v>60592.26</v>
      </c>
      <c r="U51">
        <v>1</v>
      </c>
      <c r="V51">
        <v>0</v>
      </c>
      <c r="W51">
        <v>0</v>
      </c>
      <c r="X51">
        <v>49710.29</v>
      </c>
      <c r="Y51">
        <v>5559</v>
      </c>
      <c r="Z51">
        <v>71</v>
      </c>
      <c r="AA51">
        <v>4.5999999999999996</v>
      </c>
      <c r="AB51">
        <f t="shared" si="3"/>
        <v>593996.75501750899</v>
      </c>
    </row>
    <row r="52" spans="1:28">
      <c r="A52" t="s">
        <v>34</v>
      </c>
      <c r="B52" s="2">
        <v>45717</v>
      </c>
      <c r="C52" t="s">
        <v>20</v>
      </c>
      <c r="D52">
        <f t="shared" si="0"/>
        <v>1</v>
      </c>
      <c r="E52">
        <f t="shared" si="1"/>
        <v>0</v>
      </c>
      <c r="F52">
        <f t="shared" si="2"/>
        <v>0</v>
      </c>
      <c r="G52" t="s">
        <v>28</v>
      </c>
      <c r="H52">
        <v>48287.85</v>
      </c>
      <c r="I52">
        <v>5150</v>
      </c>
      <c r="J52">
        <v>8.0000000000000002E-3</v>
      </c>
      <c r="K52">
        <v>12</v>
      </c>
      <c r="L52">
        <v>80.400000000000006</v>
      </c>
      <c r="M52">
        <v>7.4</v>
      </c>
      <c r="N52">
        <v>0</v>
      </c>
      <c r="O52">
        <v>4.5</v>
      </c>
      <c r="P52">
        <v>625672.86</v>
      </c>
      <c r="Q52">
        <v>118020.12</v>
      </c>
      <c r="U52">
        <v>1</v>
      </c>
      <c r="V52">
        <v>0</v>
      </c>
      <c r="W52">
        <v>0</v>
      </c>
      <c r="X52">
        <v>48287.85</v>
      </c>
      <c r="Y52">
        <v>5150</v>
      </c>
      <c r="Z52">
        <v>80.400000000000006</v>
      </c>
      <c r="AA52">
        <v>4.5</v>
      </c>
      <c r="AB52">
        <f t="shared" si="3"/>
        <v>604419.83948478161</v>
      </c>
    </row>
    <row r="53" spans="1:28">
      <c r="A53" t="s">
        <v>34</v>
      </c>
      <c r="B53" s="2">
        <v>45748</v>
      </c>
      <c r="C53" t="s">
        <v>20</v>
      </c>
      <c r="D53">
        <f t="shared" si="0"/>
        <v>1</v>
      </c>
      <c r="E53">
        <f t="shared" si="1"/>
        <v>0</v>
      </c>
      <c r="F53">
        <f t="shared" si="2"/>
        <v>0</v>
      </c>
      <c r="G53" t="s">
        <v>28</v>
      </c>
      <c r="H53">
        <v>65312.49</v>
      </c>
      <c r="I53">
        <v>7189</v>
      </c>
      <c r="J53">
        <v>0.05</v>
      </c>
      <c r="K53">
        <v>19</v>
      </c>
      <c r="L53">
        <v>93.7</v>
      </c>
      <c r="M53">
        <v>7.16</v>
      </c>
      <c r="N53">
        <v>0</v>
      </c>
      <c r="O53">
        <v>4.5999999999999996</v>
      </c>
      <c r="P53">
        <v>773815.14</v>
      </c>
      <c r="Q53">
        <v>133948.39000000001</v>
      </c>
      <c r="U53">
        <v>1</v>
      </c>
      <c r="V53">
        <v>0</v>
      </c>
      <c r="W53">
        <v>0</v>
      </c>
      <c r="X53">
        <v>65312.49</v>
      </c>
      <c r="Y53">
        <v>7189</v>
      </c>
      <c r="Z53">
        <v>93.7</v>
      </c>
      <c r="AA53">
        <v>4.5999999999999996</v>
      </c>
      <c r="AB53">
        <f t="shared" si="3"/>
        <v>733678.08051843627</v>
      </c>
    </row>
    <row r="54" spans="1:28">
      <c r="A54" t="s">
        <v>35</v>
      </c>
      <c r="B54" s="2">
        <v>45658</v>
      </c>
      <c r="C54" t="s">
        <v>27</v>
      </c>
      <c r="D54">
        <f t="shared" si="0"/>
        <v>0</v>
      </c>
      <c r="E54">
        <f t="shared" si="1"/>
        <v>0</v>
      </c>
      <c r="F54">
        <f t="shared" si="2"/>
        <v>1</v>
      </c>
      <c r="G54" t="s">
        <v>18</v>
      </c>
      <c r="H54">
        <v>53015.46</v>
      </c>
      <c r="I54">
        <v>3279</v>
      </c>
      <c r="J54">
        <v>8.6999999999999994E-2</v>
      </c>
      <c r="K54">
        <v>9</v>
      </c>
      <c r="L54">
        <v>84.3</v>
      </c>
      <c r="M54">
        <v>22.02</v>
      </c>
      <c r="N54">
        <v>0</v>
      </c>
      <c r="O54">
        <v>3.9</v>
      </c>
      <c r="P54">
        <v>463534.25</v>
      </c>
      <c r="Q54">
        <v>81834.539999999994</v>
      </c>
      <c r="U54">
        <v>0</v>
      </c>
      <c r="V54">
        <v>0</v>
      </c>
      <c r="W54">
        <v>1</v>
      </c>
      <c r="X54">
        <v>53015.46</v>
      </c>
      <c r="Y54">
        <v>3279</v>
      </c>
      <c r="Z54">
        <v>84.3</v>
      </c>
      <c r="AA54">
        <v>3.9</v>
      </c>
      <c r="AB54">
        <f t="shared" si="3"/>
        <v>559538.15672526299</v>
      </c>
    </row>
    <row r="55" spans="1:28">
      <c r="A55" t="s">
        <v>35</v>
      </c>
      <c r="B55" s="2">
        <v>45689</v>
      </c>
      <c r="C55" t="s">
        <v>27</v>
      </c>
      <c r="D55">
        <f t="shared" si="0"/>
        <v>0</v>
      </c>
      <c r="E55">
        <f t="shared" si="1"/>
        <v>0</v>
      </c>
      <c r="F55">
        <f t="shared" si="2"/>
        <v>1</v>
      </c>
      <c r="G55" t="s">
        <v>18</v>
      </c>
      <c r="H55">
        <v>99874.01</v>
      </c>
      <c r="I55">
        <v>5887</v>
      </c>
      <c r="J55">
        <v>0.26200000000000001</v>
      </c>
      <c r="K55">
        <v>14</v>
      </c>
      <c r="L55">
        <v>88.7</v>
      </c>
      <c r="M55">
        <v>6.18</v>
      </c>
      <c r="N55">
        <v>0</v>
      </c>
      <c r="O55">
        <v>4.7</v>
      </c>
      <c r="P55">
        <v>746677.75</v>
      </c>
      <c r="Q55">
        <v>122437.84</v>
      </c>
      <c r="U55">
        <v>0</v>
      </c>
      <c r="V55">
        <v>0</v>
      </c>
      <c r="W55">
        <v>1</v>
      </c>
      <c r="X55">
        <v>99874.01</v>
      </c>
      <c r="Y55">
        <v>5887</v>
      </c>
      <c r="Z55">
        <v>88.7</v>
      </c>
      <c r="AA55">
        <v>4.7</v>
      </c>
      <c r="AB55">
        <f t="shared" si="3"/>
        <v>726027.5099464677</v>
      </c>
    </row>
    <row r="56" spans="1:28">
      <c r="A56" t="s">
        <v>35</v>
      </c>
      <c r="B56" s="2">
        <v>45717</v>
      </c>
      <c r="C56" t="s">
        <v>27</v>
      </c>
      <c r="D56">
        <f t="shared" si="0"/>
        <v>0</v>
      </c>
      <c r="E56">
        <f t="shared" si="1"/>
        <v>0</v>
      </c>
      <c r="F56">
        <f t="shared" si="2"/>
        <v>1</v>
      </c>
      <c r="G56" t="s">
        <v>18</v>
      </c>
      <c r="H56">
        <v>81195.5</v>
      </c>
      <c r="I56">
        <v>5516</v>
      </c>
      <c r="J56">
        <v>0.106</v>
      </c>
      <c r="K56">
        <v>14</v>
      </c>
      <c r="L56">
        <v>88</v>
      </c>
      <c r="M56">
        <v>1.76</v>
      </c>
      <c r="N56">
        <v>0</v>
      </c>
      <c r="O56">
        <v>4.3</v>
      </c>
      <c r="P56">
        <v>720852.5</v>
      </c>
      <c r="Q56">
        <v>98565.62</v>
      </c>
      <c r="U56">
        <v>0</v>
      </c>
      <c r="V56">
        <v>0</v>
      </c>
      <c r="W56">
        <v>1</v>
      </c>
      <c r="X56">
        <v>81195.5</v>
      </c>
      <c r="Y56">
        <v>5516</v>
      </c>
      <c r="Z56">
        <v>88</v>
      </c>
      <c r="AA56">
        <v>4.3</v>
      </c>
      <c r="AB56">
        <f t="shared" si="3"/>
        <v>684531.965003488</v>
      </c>
    </row>
    <row r="57" spans="1:28">
      <c r="A57" t="s">
        <v>35</v>
      </c>
      <c r="B57" s="2">
        <v>45748</v>
      </c>
      <c r="C57" t="s">
        <v>27</v>
      </c>
      <c r="D57">
        <f t="shared" si="0"/>
        <v>0</v>
      </c>
      <c r="E57">
        <f t="shared" si="1"/>
        <v>0</v>
      </c>
      <c r="F57">
        <f t="shared" si="2"/>
        <v>1</v>
      </c>
      <c r="G57" t="s">
        <v>18</v>
      </c>
      <c r="H57">
        <v>27808.6</v>
      </c>
      <c r="I57">
        <v>2863</v>
      </c>
      <c r="J57">
        <v>0.08</v>
      </c>
      <c r="K57">
        <v>13</v>
      </c>
      <c r="L57">
        <v>89.3</v>
      </c>
      <c r="M57">
        <v>0.47</v>
      </c>
      <c r="N57">
        <v>0</v>
      </c>
      <c r="O57">
        <v>4.0999999999999996</v>
      </c>
      <c r="P57">
        <v>487464.91</v>
      </c>
      <c r="Q57">
        <v>64562.26</v>
      </c>
      <c r="U57">
        <v>0</v>
      </c>
      <c r="V57">
        <v>0</v>
      </c>
      <c r="W57">
        <v>1</v>
      </c>
      <c r="X57">
        <v>27808.6</v>
      </c>
      <c r="Y57">
        <v>2863</v>
      </c>
      <c r="Z57">
        <v>89.3</v>
      </c>
      <c r="AA57">
        <v>4.0999999999999996</v>
      </c>
      <c r="AB57">
        <f t="shared" si="3"/>
        <v>531733.84094022354</v>
      </c>
    </row>
    <row r="58" spans="1:28">
      <c r="A58" t="s">
        <v>36</v>
      </c>
      <c r="B58" s="2">
        <v>45658</v>
      </c>
      <c r="C58" t="s">
        <v>15</v>
      </c>
      <c r="D58">
        <f t="shared" si="0"/>
        <v>0</v>
      </c>
      <c r="E58">
        <f t="shared" si="1"/>
        <v>0</v>
      </c>
      <c r="F58">
        <f t="shared" si="2"/>
        <v>0</v>
      </c>
      <c r="G58" t="s">
        <v>21</v>
      </c>
      <c r="H58">
        <v>19365.060000000001</v>
      </c>
      <c r="I58">
        <v>2378</v>
      </c>
      <c r="J58">
        <v>0</v>
      </c>
      <c r="K58">
        <v>12</v>
      </c>
      <c r="L58">
        <v>94.8</v>
      </c>
      <c r="M58">
        <v>0.2</v>
      </c>
      <c r="N58">
        <v>0</v>
      </c>
      <c r="O58">
        <v>3.5</v>
      </c>
      <c r="P58">
        <v>518049.26</v>
      </c>
      <c r="Q58">
        <v>108592.49</v>
      </c>
      <c r="U58">
        <v>0</v>
      </c>
      <c r="V58">
        <v>0</v>
      </c>
      <c r="W58">
        <v>0</v>
      </c>
      <c r="X58">
        <v>19365.060000000001</v>
      </c>
      <c r="Y58">
        <v>2378</v>
      </c>
      <c r="Z58">
        <v>94.8</v>
      </c>
      <c r="AA58">
        <v>3.5</v>
      </c>
      <c r="AB58">
        <f t="shared" si="3"/>
        <v>497319.24637598253</v>
      </c>
    </row>
    <row r="59" spans="1:28">
      <c r="A59" t="s">
        <v>36</v>
      </c>
      <c r="B59" s="2">
        <v>45689</v>
      </c>
      <c r="C59" t="s">
        <v>15</v>
      </c>
      <c r="D59">
        <f t="shared" si="0"/>
        <v>0</v>
      </c>
      <c r="E59">
        <f t="shared" si="1"/>
        <v>0</v>
      </c>
      <c r="F59">
        <f t="shared" si="2"/>
        <v>0</v>
      </c>
      <c r="G59" t="s">
        <v>21</v>
      </c>
      <c r="H59">
        <v>59405.68</v>
      </c>
      <c r="I59">
        <v>2515</v>
      </c>
      <c r="J59">
        <v>3.9E-2</v>
      </c>
      <c r="K59">
        <v>12</v>
      </c>
      <c r="L59">
        <v>76</v>
      </c>
      <c r="M59">
        <v>5.1100000000000003</v>
      </c>
      <c r="N59">
        <v>0</v>
      </c>
      <c r="O59">
        <v>3.7</v>
      </c>
      <c r="P59">
        <v>500298.48</v>
      </c>
      <c r="Q59">
        <v>73461.320000000007</v>
      </c>
      <c r="U59">
        <v>0</v>
      </c>
      <c r="V59">
        <v>0</v>
      </c>
      <c r="W59">
        <v>0</v>
      </c>
      <c r="X59">
        <v>59405.68</v>
      </c>
      <c r="Y59">
        <v>2515</v>
      </c>
      <c r="Z59">
        <v>76</v>
      </c>
      <c r="AA59">
        <v>3.7</v>
      </c>
      <c r="AB59">
        <f t="shared" si="3"/>
        <v>498049.24664712569</v>
      </c>
    </row>
    <row r="60" spans="1:28">
      <c r="A60" t="s">
        <v>36</v>
      </c>
      <c r="B60" s="2">
        <v>45717</v>
      </c>
      <c r="C60" t="s">
        <v>15</v>
      </c>
      <c r="D60">
        <f t="shared" si="0"/>
        <v>0</v>
      </c>
      <c r="E60">
        <f t="shared" si="1"/>
        <v>0</v>
      </c>
      <c r="F60">
        <f t="shared" si="2"/>
        <v>0</v>
      </c>
      <c r="G60" t="s">
        <v>21</v>
      </c>
      <c r="H60">
        <v>118910.48</v>
      </c>
      <c r="I60">
        <v>4022</v>
      </c>
      <c r="J60">
        <v>0.13700000000000001</v>
      </c>
      <c r="K60">
        <v>11</v>
      </c>
      <c r="L60">
        <v>87.1</v>
      </c>
      <c r="M60">
        <v>0.2</v>
      </c>
      <c r="N60">
        <v>0</v>
      </c>
      <c r="O60">
        <v>3.1</v>
      </c>
      <c r="P60">
        <v>617291.15</v>
      </c>
      <c r="Q60">
        <v>117782</v>
      </c>
      <c r="U60">
        <v>0</v>
      </c>
      <c r="V60">
        <v>0</v>
      </c>
      <c r="W60">
        <v>0</v>
      </c>
      <c r="X60">
        <v>118910.48</v>
      </c>
      <c r="Y60">
        <v>4022</v>
      </c>
      <c r="Z60">
        <v>87.1</v>
      </c>
      <c r="AA60">
        <v>3.1</v>
      </c>
      <c r="AB60">
        <f t="shared" si="3"/>
        <v>646232.31888604048</v>
      </c>
    </row>
    <row r="61" spans="1:28">
      <c r="A61" t="s">
        <v>36</v>
      </c>
      <c r="B61" s="2">
        <v>45748</v>
      </c>
      <c r="C61" t="s">
        <v>15</v>
      </c>
      <c r="D61">
        <f t="shared" si="0"/>
        <v>0</v>
      </c>
      <c r="E61">
        <f t="shared" si="1"/>
        <v>0</v>
      </c>
      <c r="F61">
        <f t="shared" si="2"/>
        <v>0</v>
      </c>
      <c r="G61" t="s">
        <v>21</v>
      </c>
      <c r="H61">
        <v>52952.12</v>
      </c>
      <c r="I61">
        <v>4377</v>
      </c>
      <c r="J61">
        <v>9.1999999999999998E-2</v>
      </c>
      <c r="K61">
        <v>14</v>
      </c>
      <c r="L61">
        <v>88.6</v>
      </c>
      <c r="M61">
        <v>13.59</v>
      </c>
      <c r="N61">
        <v>0</v>
      </c>
      <c r="O61">
        <v>3.1</v>
      </c>
      <c r="P61">
        <v>553756.43000000005</v>
      </c>
      <c r="Q61">
        <v>86166.77</v>
      </c>
      <c r="U61">
        <v>0</v>
      </c>
      <c r="V61">
        <v>0</v>
      </c>
      <c r="W61">
        <v>0</v>
      </c>
      <c r="X61">
        <v>52952.12</v>
      </c>
      <c r="Y61">
        <v>4377</v>
      </c>
      <c r="Z61">
        <v>88.6</v>
      </c>
      <c r="AA61">
        <v>3.1</v>
      </c>
      <c r="AB61">
        <f t="shared" si="3"/>
        <v>583326.85185156704</v>
      </c>
    </row>
    <row r="62" spans="1:28">
      <c r="A62" t="s">
        <v>37</v>
      </c>
      <c r="B62" s="2">
        <v>45658</v>
      </c>
      <c r="C62" t="s">
        <v>24</v>
      </c>
      <c r="D62">
        <f t="shared" si="0"/>
        <v>0</v>
      </c>
      <c r="E62">
        <f t="shared" si="1"/>
        <v>1</v>
      </c>
      <c r="F62">
        <f t="shared" si="2"/>
        <v>0</v>
      </c>
      <c r="G62" t="s">
        <v>18</v>
      </c>
      <c r="H62">
        <v>74907.98</v>
      </c>
      <c r="I62">
        <v>5306</v>
      </c>
      <c r="J62">
        <v>6.2E-2</v>
      </c>
      <c r="K62">
        <v>16</v>
      </c>
      <c r="L62">
        <v>95.6</v>
      </c>
      <c r="M62">
        <v>1.02</v>
      </c>
      <c r="N62">
        <v>0</v>
      </c>
      <c r="O62">
        <v>3.7</v>
      </c>
      <c r="P62">
        <v>749559.71</v>
      </c>
      <c r="Q62">
        <v>144522.53</v>
      </c>
      <c r="U62">
        <v>0</v>
      </c>
      <c r="V62">
        <v>1</v>
      </c>
      <c r="W62">
        <v>0</v>
      </c>
      <c r="X62">
        <v>74907.98</v>
      </c>
      <c r="Y62">
        <v>5306</v>
      </c>
      <c r="Z62">
        <v>95.6</v>
      </c>
      <c r="AA62">
        <v>3.7</v>
      </c>
      <c r="AB62">
        <f t="shared" si="3"/>
        <v>690089.72934912052</v>
      </c>
    </row>
    <row r="63" spans="1:28">
      <c r="A63" t="s">
        <v>37</v>
      </c>
      <c r="B63" s="2">
        <v>45689</v>
      </c>
      <c r="C63" t="s">
        <v>24</v>
      </c>
      <c r="D63">
        <f t="shared" si="0"/>
        <v>0</v>
      </c>
      <c r="E63">
        <f t="shared" si="1"/>
        <v>1</v>
      </c>
      <c r="F63">
        <f t="shared" si="2"/>
        <v>0</v>
      </c>
      <c r="G63" t="s">
        <v>18</v>
      </c>
      <c r="H63">
        <v>37284.660000000003</v>
      </c>
      <c r="I63">
        <v>3928</v>
      </c>
      <c r="J63">
        <v>7.3999999999999996E-2</v>
      </c>
      <c r="K63">
        <v>12</v>
      </c>
      <c r="L63">
        <v>86.5</v>
      </c>
      <c r="M63">
        <v>1.64</v>
      </c>
      <c r="N63">
        <v>0</v>
      </c>
      <c r="O63">
        <v>3.8</v>
      </c>
      <c r="P63">
        <v>615966.48</v>
      </c>
      <c r="Q63">
        <v>91509.38</v>
      </c>
      <c r="U63">
        <v>0</v>
      </c>
      <c r="V63">
        <v>1</v>
      </c>
      <c r="W63">
        <v>0</v>
      </c>
      <c r="X63">
        <v>37284.660000000003</v>
      </c>
      <c r="Y63">
        <v>3928</v>
      </c>
      <c r="Z63">
        <v>86.5</v>
      </c>
      <c r="AA63">
        <v>3.8</v>
      </c>
      <c r="AB63">
        <f t="shared" si="3"/>
        <v>572859.12117905216</v>
      </c>
    </row>
    <row r="64" spans="1:28">
      <c r="A64" t="s">
        <v>37</v>
      </c>
      <c r="B64" s="2">
        <v>45717</v>
      </c>
      <c r="C64" t="s">
        <v>24</v>
      </c>
      <c r="D64">
        <f t="shared" si="0"/>
        <v>0</v>
      </c>
      <c r="E64">
        <f t="shared" si="1"/>
        <v>1</v>
      </c>
      <c r="F64">
        <f t="shared" si="2"/>
        <v>0</v>
      </c>
      <c r="G64" t="s">
        <v>18</v>
      </c>
      <c r="H64">
        <v>50343.19</v>
      </c>
      <c r="I64">
        <v>3845</v>
      </c>
      <c r="J64">
        <v>0.113</v>
      </c>
      <c r="K64">
        <v>9</v>
      </c>
      <c r="L64">
        <v>88.7</v>
      </c>
      <c r="M64">
        <v>5.15</v>
      </c>
      <c r="N64">
        <v>0</v>
      </c>
      <c r="O64">
        <v>3.3</v>
      </c>
      <c r="P64">
        <v>572011.19999999995</v>
      </c>
      <c r="Q64">
        <v>101409.68</v>
      </c>
      <c r="U64">
        <v>0</v>
      </c>
      <c r="V64">
        <v>1</v>
      </c>
      <c r="W64">
        <v>0</v>
      </c>
      <c r="X64">
        <v>50343.19</v>
      </c>
      <c r="Y64">
        <v>3845</v>
      </c>
      <c r="Z64">
        <v>88.7</v>
      </c>
      <c r="AA64">
        <v>3.3</v>
      </c>
      <c r="AB64">
        <f t="shared" si="3"/>
        <v>586576.67192075937</v>
      </c>
    </row>
    <row r="65" spans="1:28">
      <c r="A65" t="s">
        <v>37</v>
      </c>
      <c r="B65" s="2">
        <v>45748</v>
      </c>
      <c r="C65" t="s">
        <v>24</v>
      </c>
      <c r="D65">
        <f t="shared" si="0"/>
        <v>0</v>
      </c>
      <c r="E65">
        <f t="shared" si="1"/>
        <v>1</v>
      </c>
      <c r="F65">
        <f t="shared" si="2"/>
        <v>0</v>
      </c>
      <c r="G65" t="s">
        <v>18</v>
      </c>
      <c r="H65">
        <v>74954.47</v>
      </c>
      <c r="I65">
        <v>6620</v>
      </c>
      <c r="J65">
        <v>5.3999999999999999E-2</v>
      </c>
      <c r="K65">
        <v>17</v>
      </c>
      <c r="L65">
        <v>91.1</v>
      </c>
      <c r="M65">
        <v>1.1100000000000001</v>
      </c>
      <c r="N65">
        <v>0</v>
      </c>
      <c r="O65">
        <v>3.5</v>
      </c>
      <c r="P65">
        <v>761860.19</v>
      </c>
      <c r="Q65">
        <v>133279.38</v>
      </c>
      <c r="U65">
        <v>0</v>
      </c>
      <c r="V65">
        <v>1</v>
      </c>
      <c r="W65">
        <v>0</v>
      </c>
      <c r="X65">
        <v>74954.47</v>
      </c>
      <c r="Y65">
        <v>6620</v>
      </c>
      <c r="Z65">
        <v>91.1</v>
      </c>
      <c r="AA65">
        <v>3.5</v>
      </c>
      <c r="AB65">
        <f t="shared" si="3"/>
        <v>719605.63186679059</v>
      </c>
    </row>
    <row r="66" spans="1:28">
      <c r="A66" t="s">
        <v>38</v>
      </c>
      <c r="B66" s="2">
        <v>45658</v>
      </c>
      <c r="C66" t="s">
        <v>27</v>
      </c>
      <c r="D66">
        <f t="shared" si="0"/>
        <v>0</v>
      </c>
      <c r="E66">
        <f t="shared" si="1"/>
        <v>0</v>
      </c>
      <c r="F66">
        <f t="shared" si="2"/>
        <v>1</v>
      </c>
      <c r="G66" t="s">
        <v>18</v>
      </c>
      <c r="H66">
        <v>70040.31</v>
      </c>
      <c r="I66">
        <v>9175</v>
      </c>
      <c r="J66">
        <v>0.107</v>
      </c>
      <c r="K66">
        <v>23</v>
      </c>
      <c r="L66">
        <v>95.1</v>
      </c>
      <c r="M66">
        <v>6.08</v>
      </c>
      <c r="N66">
        <v>1</v>
      </c>
      <c r="O66">
        <v>3.4</v>
      </c>
      <c r="P66">
        <v>784502.68</v>
      </c>
      <c r="Q66">
        <v>129519.72</v>
      </c>
      <c r="U66">
        <v>0</v>
      </c>
      <c r="V66">
        <v>0</v>
      </c>
      <c r="W66">
        <v>1</v>
      </c>
      <c r="X66">
        <v>70040.31</v>
      </c>
      <c r="Y66">
        <v>9175</v>
      </c>
      <c r="Z66">
        <v>95.1</v>
      </c>
      <c r="AA66">
        <v>3.4</v>
      </c>
      <c r="AB66">
        <f t="shared" si="3"/>
        <v>806042.09661653661</v>
      </c>
    </row>
    <row r="67" spans="1:28">
      <c r="A67" t="s">
        <v>38</v>
      </c>
      <c r="B67" s="2">
        <v>45689</v>
      </c>
      <c r="C67" t="s">
        <v>27</v>
      </c>
      <c r="D67">
        <f t="shared" ref="D67:D130" si="4">IF(C67="North",1,0)</f>
        <v>0</v>
      </c>
      <c r="E67">
        <f t="shared" ref="E67:E130" si="5">IF(C67="South",1,0)</f>
        <v>0</v>
      </c>
      <c r="F67">
        <f t="shared" ref="F67:F130" si="6">IF(C67="West",1,0)</f>
        <v>1</v>
      </c>
      <c r="G67" t="s">
        <v>18</v>
      </c>
      <c r="H67">
        <v>51148.69</v>
      </c>
      <c r="I67">
        <v>7940</v>
      </c>
      <c r="J67">
        <v>0.156</v>
      </c>
      <c r="K67">
        <v>18</v>
      </c>
      <c r="L67">
        <v>93.3</v>
      </c>
      <c r="M67">
        <v>10.91</v>
      </c>
      <c r="N67">
        <v>0</v>
      </c>
      <c r="O67">
        <v>3.6</v>
      </c>
      <c r="P67">
        <v>717141.55</v>
      </c>
      <c r="Q67">
        <v>134013.60999999999</v>
      </c>
      <c r="U67">
        <v>0</v>
      </c>
      <c r="V67">
        <v>0</v>
      </c>
      <c r="W67">
        <v>1</v>
      </c>
      <c r="X67">
        <v>51148.69</v>
      </c>
      <c r="Y67">
        <v>7940</v>
      </c>
      <c r="Z67">
        <v>93.3</v>
      </c>
      <c r="AA67">
        <v>3.6</v>
      </c>
      <c r="AB67">
        <f t="shared" ref="AB67:AB130" si="7">80972.67194
+(8667.122801*U67)
+(21972.42005*V67)
+(17042.83335*W67)
+(1.202273376*X67)
+(33.98425653*Y67)
+(2886.7347*Z67)
+(11024.99051*AA67)</f>
        <v>738367.52368847758</v>
      </c>
    </row>
    <row r="68" spans="1:28">
      <c r="A68" t="s">
        <v>38</v>
      </c>
      <c r="B68" s="2">
        <v>45717</v>
      </c>
      <c r="C68" t="s">
        <v>27</v>
      </c>
      <c r="D68">
        <f t="shared" si="4"/>
        <v>0</v>
      </c>
      <c r="E68">
        <f t="shared" si="5"/>
        <v>0</v>
      </c>
      <c r="F68">
        <f t="shared" si="6"/>
        <v>1</v>
      </c>
      <c r="G68" t="s">
        <v>18</v>
      </c>
      <c r="H68">
        <v>79346.100000000006</v>
      </c>
      <c r="I68">
        <v>9628</v>
      </c>
      <c r="J68">
        <v>0.10199999999999999</v>
      </c>
      <c r="K68">
        <v>20</v>
      </c>
      <c r="L68">
        <v>99</v>
      </c>
      <c r="M68">
        <v>19.010000000000002</v>
      </c>
      <c r="N68">
        <v>1</v>
      </c>
      <c r="O68">
        <v>3.2</v>
      </c>
      <c r="P68">
        <v>685379.08</v>
      </c>
      <c r="Q68">
        <v>106898.82</v>
      </c>
      <c r="U68">
        <v>0</v>
      </c>
      <c r="V68">
        <v>0</v>
      </c>
      <c r="W68">
        <v>1</v>
      </c>
      <c r="X68">
        <v>79346.100000000006</v>
      </c>
      <c r="Y68">
        <v>9628</v>
      </c>
      <c r="Z68">
        <v>99</v>
      </c>
      <c r="AA68">
        <v>3.2</v>
      </c>
      <c r="AB68">
        <f t="shared" si="7"/>
        <v>841678.33561227354</v>
      </c>
    </row>
    <row r="69" spans="1:28">
      <c r="A69" t="s">
        <v>38</v>
      </c>
      <c r="B69" s="2">
        <v>45748</v>
      </c>
      <c r="C69" t="s">
        <v>27</v>
      </c>
      <c r="D69">
        <f t="shared" si="4"/>
        <v>0</v>
      </c>
      <c r="E69">
        <f t="shared" si="5"/>
        <v>0</v>
      </c>
      <c r="F69">
        <f t="shared" si="6"/>
        <v>1</v>
      </c>
      <c r="G69" t="s">
        <v>18</v>
      </c>
      <c r="H69">
        <v>42018.400000000001</v>
      </c>
      <c r="I69">
        <v>8296</v>
      </c>
      <c r="J69">
        <v>0.115</v>
      </c>
      <c r="K69">
        <v>17</v>
      </c>
      <c r="L69">
        <v>91.8</v>
      </c>
      <c r="M69">
        <v>0.77</v>
      </c>
      <c r="N69">
        <v>0</v>
      </c>
      <c r="O69">
        <v>3.4</v>
      </c>
      <c r="P69">
        <v>740496.65</v>
      </c>
      <c r="Q69">
        <v>128020.9</v>
      </c>
      <c r="U69">
        <v>0</v>
      </c>
      <c r="V69">
        <v>0</v>
      </c>
      <c r="W69">
        <v>1</v>
      </c>
      <c r="X69">
        <v>42018.400000000001</v>
      </c>
      <c r="Y69">
        <v>8296</v>
      </c>
      <c r="Z69">
        <v>91.8</v>
      </c>
      <c r="AA69">
        <v>3.4</v>
      </c>
      <c r="AB69">
        <f t="shared" si="7"/>
        <v>732953.71427899832</v>
      </c>
    </row>
    <row r="70" spans="1:28">
      <c r="A70" t="s">
        <v>39</v>
      </c>
      <c r="B70" s="2">
        <v>45658</v>
      </c>
      <c r="C70" t="s">
        <v>15</v>
      </c>
      <c r="D70">
        <f t="shared" si="4"/>
        <v>0</v>
      </c>
      <c r="E70">
        <f t="shared" si="5"/>
        <v>0</v>
      </c>
      <c r="F70">
        <f t="shared" si="6"/>
        <v>0</v>
      </c>
      <c r="G70" t="s">
        <v>18</v>
      </c>
      <c r="H70">
        <v>70937.240000000005</v>
      </c>
      <c r="I70">
        <v>3595</v>
      </c>
      <c r="J70">
        <v>0.14099999999999999</v>
      </c>
      <c r="K70">
        <v>11</v>
      </c>
      <c r="L70">
        <v>88.9</v>
      </c>
      <c r="M70">
        <v>2.83</v>
      </c>
      <c r="N70">
        <v>1</v>
      </c>
      <c r="O70">
        <v>3.3</v>
      </c>
      <c r="P70">
        <v>661927.14</v>
      </c>
      <c r="Q70">
        <v>79218.570000000007</v>
      </c>
      <c r="U70">
        <v>0</v>
      </c>
      <c r="V70">
        <v>0</v>
      </c>
      <c r="W70">
        <v>0</v>
      </c>
      <c r="X70">
        <v>70937.240000000005</v>
      </c>
      <c r="Y70">
        <v>3595</v>
      </c>
      <c r="Z70">
        <v>88.9</v>
      </c>
      <c r="AA70">
        <v>3.3</v>
      </c>
      <c r="AB70">
        <f t="shared" si="7"/>
        <v>581445.21269727219</v>
      </c>
    </row>
    <row r="71" spans="1:28">
      <c r="A71" t="s">
        <v>39</v>
      </c>
      <c r="B71" s="2">
        <v>45689</v>
      </c>
      <c r="C71" t="s">
        <v>15</v>
      </c>
      <c r="D71">
        <f t="shared" si="4"/>
        <v>0</v>
      </c>
      <c r="E71">
        <f t="shared" si="5"/>
        <v>0</v>
      </c>
      <c r="F71">
        <f t="shared" si="6"/>
        <v>0</v>
      </c>
      <c r="G71" t="s">
        <v>18</v>
      </c>
      <c r="H71">
        <v>36813.449999999997</v>
      </c>
      <c r="I71">
        <v>2834</v>
      </c>
      <c r="J71">
        <v>0.191</v>
      </c>
      <c r="K71">
        <v>11</v>
      </c>
      <c r="L71">
        <v>81.8</v>
      </c>
      <c r="M71">
        <v>2.33</v>
      </c>
      <c r="N71">
        <v>0</v>
      </c>
      <c r="O71">
        <v>3.3</v>
      </c>
      <c r="P71">
        <v>479050.5</v>
      </c>
      <c r="Q71">
        <v>53651.11</v>
      </c>
      <c r="U71">
        <v>0</v>
      </c>
      <c r="V71">
        <v>0</v>
      </c>
      <c r="W71">
        <v>0</v>
      </c>
      <c r="X71">
        <v>36813.449999999997</v>
      </c>
      <c r="Y71">
        <v>2834</v>
      </c>
      <c r="Z71">
        <v>81.8</v>
      </c>
      <c r="AA71">
        <v>3.3</v>
      </c>
      <c r="AB71">
        <f t="shared" si="7"/>
        <v>494061.25290272722</v>
      </c>
    </row>
    <row r="72" spans="1:28">
      <c r="A72" t="s">
        <v>39</v>
      </c>
      <c r="B72" s="2">
        <v>45717</v>
      </c>
      <c r="C72" t="s">
        <v>15</v>
      </c>
      <c r="D72">
        <f t="shared" si="4"/>
        <v>0</v>
      </c>
      <c r="E72">
        <f t="shared" si="5"/>
        <v>0</v>
      </c>
      <c r="F72">
        <f t="shared" si="6"/>
        <v>0</v>
      </c>
      <c r="G72" t="s">
        <v>18</v>
      </c>
      <c r="H72">
        <v>60571.82</v>
      </c>
      <c r="I72">
        <v>3193</v>
      </c>
      <c r="J72">
        <v>0.19700000000000001</v>
      </c>
      <c r="K72">
        <v>7</v>
      </c>
      <c r="L72">
        <v>99</v>
      </c>
      <c r="M72">
        <v>1.43</v>
      </c>
      <c r="N72">
        <v>0</v>
      </c>
      <c r="O72">
        <v>3.2</v>
      </c>
      <c r="P72">
        <v>605023.87</v>
      </c>
      <c r="Q72">
        <v>98545.81</v>
      </c>
      <c r="U72">
        <v>0</v>
      </c>
      <c r="V72">
        <v>0</v>
      </c>
      <c r="W72">
        <v>0</v>
      </c>
      <c r="X72">
        <v>60571.82</v>
      </c>
      <c r="Y72">
        <v>3193</v>
      </c>
      <c r="Z72">
        <v>99</v>
      </c>
      <c r="AA72">
        <v>3.2</v>
      </c>
      <c r="AB72">
        <f t="shared" si="7"/>
        <v>583374.99449415435</v>
      </c>
    </row>
    <row r="73" spans="1:28">
      <c r="A73" t="s">
        <v>39</v>
      </c>
      <c r="B73" s="2">
        <v>45748</v>
      </c>
      <c r="C73" t="s">
        <v>15</v>
      </c>
      <c r="D73">
        <f t="shared" si="4"/>
        <v>0</v>
      </c>
      <c r="E73">
        <f t="shared" si="5"/>
        <v>0</v>
      </c>
      <c r="F73">
        <f t="shared" si="6"/>
        <v>0</v>
      </c>
      <c r="G73" t="s">
        <v>18</v>
      </c>
      <c r="H73">
        <v>55081.16</v>
      </c>
      <c r="I73">
        <v>5485</v>
      </c>
      <c r="J73">
        <v>3.5999999999999997E-2</v>
      </c>
      <c r="K73">
        <v>12</v>
      </c>
      <c r="L73">
        <v>88</v>
      </c>
      <c r="M73">
        <v>4.5590445859872624</v>
      </c>
      <c r="N73">
        <v>0</v>
      </c>
      <c r="O73">
        <v>3.5</v>
      </c>
      <c r="P73">
        <v>674774.09</v>
      </c>
      <c r="Q73">
        <v>141917.59</v>
      </c>
      <c r="U73">
        <v>0</v>
      </c>
      <c r="V73">
        <v>0</v>
      </c>
      <c r="W73">
        <v>0</v>
      </c>
      <c r="X73">
        <v>55081.16</v>
      </c>
      <c r="Y73">
        <v>5485</v>
      </c>
      <c r="Z73">
        <v>88</v>
      </c>
      <c r="AA73">
        <v>3.5</v>
      </c>
      <c r="AB73">
        <f t="shared" si="7"/>
        <v>626219.05157924606</v>
      </c>
    </row>
    <row r="74" spans="1:28">
      <c r="A74" t="s">
        <v>40</v>
      </c>
      <c r="B74" s="2">
        <v>45658</v>
      </c>
      <c r="C74" t="s">
        <v>15</v>
      </c>
      <c r="D74">
        <f t="shared" si="4"/>
        <v>0</v>
      </c>
      <c r="E74">
        <f t="shared" si="5"/>
        <v>0</v>
      </c>
      <c r="F74">
        <f t="shared" si="6"/>
        <v>0</v>
      </c>
      <c r="G74" t="s">
        <v>16</v>
      </c>
      <c r="H74">
        <v>46201.46</v>
      </c>
      <c r="I74">
        <v>5918</v>
      </c>
      <c r="J74">
        <v>0.27700000000000002</v>
      </c>
      <c r="K74">
        <v>13</v>
      </c>
      <c r="L74">
        <v>78.8</v>
      </c>
      <c r="M74">
        <v>4.91</v>
      </c>
      <c r="N74">
        <v>0</v>
      </c>
      <c r="O74">
        <v>4.5</v>
      </c>
      <c r="P74">
        <v>616069.41</v>
      </c>
      <c r="Q74">
        <v>54453.99</v>
      </c>
      <c r="U74">
        <v>0</v>
      </c>
      <c r="V74">
        <v>0</v>
      </c>
      <c r="W74">
        <v>0</v>
      </c>
      <c r="X74">
        <v>46201.46</v>
      </c>
      <c r="Y74">
        <v>5918</v>
      </c>
      <c r="Z74">
        <v>78.8</v>
      </c>
      <c r="AA74">
        <v>4.5</v>
      </c>
      <c r="AB74">
        <f t="shared" si="7"/>
        <v>614725.43902986892</v>
      </c>
    </row>
    <row r="75" spans="1:28">
      <c r="A75" t="s">
        <v>40</v>
      </c>
      <c r="B75" s="2">
        <v>45689</v>
      </c>
      <c r="C75" t="s">
        <v>15</v>
      </c>
      <c r="D75">
        <f t="shared" si="4"/>
        <v>0</v>
      </c>
      <c r="E75">
        <f t="shared" si="5"/>
        <v>0</v>
      </c>
      <c r="F75">
        <f t="shared" si="6"/>
        <v>0</v>
      </c>
      <c r="G75" t="s">
        <v>16</v>
      </c>
      <c r="H75">
        <v>53762.92</v>
      </c>
      <c r="I75">
        <v>6821</v>
      </c>
      <c r="J75">
        <v>6.6000000000000003E-2</v>
      </c>
      <c r="K75">
        <v>19</v>
      </c>
      <c r="L75">
        <v>94.6</v>
      </c>
      <c r="M75">
        <v>7.03</v>
      </c>
      <c r="N75">
        <v>0</v>
      </c>
      <c r="O75">
        <v>4.4000000000000004</v>
      </c>
      <c r="P75">
        <v>630829.93999999994</v>
      </c>
      <c r="Q75">
        <v>117090.02</v>
      </c>
      <c r="U75">
        <v>0</v>
      </c>
      <c r="V75">
        <v>0</v>
      </c>
      <c r="W75">
        <v>0</v>
      </c>
      <c r="X75">
        <v>53762.92</v>
      </c>
      <c r="Y75">
        <v>6821</v>
      </c>
      <c r="Z75">
        <v>94.6</v>
      </c>
      <c r="AA75">
        <v>4.4000000000000004</v>
      </c>
      <c r="AB75">
        <f t="shared" si="7"/>
        <v>699012.0739271479</v>
      </c>
    </row>
    <row r="76" spans="1:28">
      <c r="A76" t="s">
        <v>40</v>
      </c>
      <c r="B76" s="2">
        <v>45717</v>
      </c>
      <c r="C76" t="s">
        <v>15</v>
      </c>
      <c r="D76">
        <f t="shared" si="4"/>
        <v>0</v>
      </c>
      <c r="E76">
        <f t="shared" si="5"/>
        <v>0</v>
      </c>
      <c r="F76">
        <f t="shared" si="6"/>
        <v>0</v>
      </c>
      <c r="G76" t="s">
        <v>16</v>
      </c>
      <c r="H76">
        <v>70144.78</v>
      </c>
      <c r="I76">
        <v>6806</v>
      </c>
      <c r="J76">
        <v>0.17799999999999999</v>
      </c>
      <c r="K76">
        <v>20</v>
      </c>
      <c r="L76">
        <v>93.1</v>
      </c>
      <c r="M76">
        <v>0.28000000000000003</v>
      </c>
      <c r="N76">
        <v>1</v>
      </c>
      <c r="O76">
        <v>4.3</v>
      </c>
      <c r="P76">
        <v>788087.68</v>
      </c>
      <c r="Q76">
        <v>116803.42</v>
      </c>
      <c r="U76">
        <v>0</v>
      </c>
      <c r="V76">
        <v>0</v>
      </c>
      <c r="W76">
        <v>0</v>
      </c>
      <c r="X76">
        <v>70144.78</v>
      </c>
      <c r="Y76">
        <v>6806</v>
      </c>
      <c r="Z76">
        <v>93.1</v>
      </c>
      <c r="AA76">
        <v>4.3</v>
      </c>
      <c r="AB76">
        <f t="shared" si="7"/>
        <v>712765.18310555734</v>
      </c>
    </row>
    <row r="77" spans="1:28">
      <c r="A77" t="s">
        <v>40</v>
      </c>
      <c r="B77" s="2">
        <v>45748</v>
      </c>
      <c r="C77" t="s">
        <v>15</v>
      </c>
      <c r="D77">
        <f t="shared" si="4"/>
        <v>0</v>
      </c>
      <c r="E77">
        <f t="shared" si="5"/>
        <v>0</v>
      </c>
      <c r="F77">
        <f t="shared" si="6"/>
        <v>0</v>
      </c>
      <c r="G77" t="s">
        <v>16</v>
      </c>
      <c r="H77">
        <v>58749.63</v>
      </c>
      <c r="I77">
        <v>8252</v>
      </c>
      <c r="J77">
        <v>0.20300000000000001</v>
      </c>
      <c r="K77">
        <v>20</v>
      </c>
      <c r="L77">
        <v>85.2</v>
      </c>
      <c r="M77">
        <v>3.61</v>
      </c>
      <c r="N77">
        <v>0</v>
      </c>
      <c r="O77">
        <v>4.5</v>
      </c>
      <c r="P77">
        <v>680840.36</v>
      </c>
      <c r="Q77">
        <v>68007.679999999993</v>
      </c>
      <c r="U77">
        <v>0</v>
      </c>
      <c r="V77">
        <v>0</v>
      </c>
      <c r="W77">
        <v>0</v>
      </c>
      <c r="X77">
        <v>58749.63</v>
      </c>
      <c r="Y77">
        <v>8252</v>
      </c>
      <c r="Z77">
        <v>85.2</v>
      </c>
      <c r="AA77">
        <v>4.5</v>
      </c>
      <c r="AB77">
        <f t="shared" si="7"/>
        <v>727606.12655941083</v>
      </c>
    </row>
    <row r="78" spans="1:28">
      <c r="A78" t="s">
        <v>41</v>
      </c>
      <c r="B78" s="2">
        <v>45658</v>
      </c>
      <c r="C78" t="s">
        <v>24</v>
      </c>
      <c r="D78">
        <f t="shared" si="4"/>
        <v>0</v>
      </c>
      <c r="E78">
        <f t="shared" si="5"/>
        <v>1</v>
      </c>
      <c r="F78">
        <f t="shared" si="6"/>
        <v>0</v>
      </c>
      <c r="G78" t="s">
        <v>18</v>
      </c>
      <c r="H78">
        <v>56973.18</v>
      </c>
      <c r="I78">
        <v>6662</v>
      </c>
      <c r="J78">
        <v>0.1</v>
      </c>
      <c r="K78">
        <v>15</v>
      </c>
      <c r="L78">
        <v>77.7</v>
      </c>
      <c r="M78">
        <v>7.52</v>
      </c>
      <c r="N78">
        <v>1</v>
      </c>
      <c r="O78">
        <v>3.2</v>
      </c>
      <c r="P78">
        <v>643657.47</v>
      </c>
      <c r="Q78">
        <v>87022.45</v>
      </c>
      <c r="U78">
        <v>0</v>
      </c>
      <c r="V78">
        <v>1</v>
      </c>
      <c r="W78">
        <v>0</v>
      </c>
      <c r="X78">
        <v>56973.18</v>
      </c>
      <c r="Y78">
        <v>6662</v>
      </c>
      <c r="Z78">
        <v>77.7</v>
      </c>
      <c r="AA78">
        <v>3.2</v>
      </c>
      <c r="AB78">
        <f t="shared" si="7"/>
        <v>657424.80227491562</v>
      </c>
    </row>
    <row r="79" spans="1:28">
      <c r="A79" t="s">
        <v>41</v>
      </c>
      <c r="B79" s="2">
        <v>45689</v>
      </c>
      <c r="C79" t="s">
        <v>24</v>
      </c>
      <c r="D79">
        <f t="shared" si="4"/>
        <v>0</v>
      </c>
      <c r="E79">
        <f t="shared" si="5"/>
        <v>1</v>
      </c>
      <c r="F79">
        <f t="shared" si="6"/>
        <v>0</v>
      </c>
      <c r="G79" t="s">
        <v>18</v>
      </c>
      <c r="H79">
        <v>54872.82</v>
      </c>
      <c r="I79">
        <v>5962</v>
      </c>
      <c r="J79">
        <v>6.4000000000000001E-2</v>
      </c>
      <c r="K79">
        <v>12</v>
      </c>
      <c r="L79">
        <v>85.4</v>
      </c>
      <c r="M79">
        <v>2.58</v>
      </c>
      <c r="N79">
        <v>0</v>
      </c>
      <c r="O79">
        <v>2.9</v>
      </c>
      <c r="P79">
        <v>691112.6</v>
      </c>
      <c r="Q79">
        <v>109212.83</v>
      </c>
      <c r="U79">
        <v>0</v>
      </c>
      <c r="V79">
        <v>1</v>
      </c>
      <c r="W79">
        <v>0</v>
      </c>
      <c r="X79">
        <v>54872.82</v>
      </c>
      <c r="Y79">
        <v>5962</v>
      </c>
      <c r="Z79">
        <v>85.4</v>
      </c>
      <c r="AA79">
        <v>2.9</v>
      </c>
      <c r="AB79">
        <f t="shared" si="7"/>
        <v>650030.97583290038</v>
      </c>
    </row>
    <row r="80" spans="1:28">
      <c r="A80" t="s">
        <v>41</v>
      </c>
      <c r="B80" s="2">
        <v>45717</v>
      </c>
      <c r="C80" t="s">
        <v>24</v>
      </c>
      <c r="D80">
        <f t="shared" si="4"/>
        <v>0</v>
      </c>
      <c r="E80">
        <f t="shared" si="5"/>
        <v>1</v>
      </c>
      <c r="F80">
        <f t="shared" si="6"/>
        <v>0</v>
      </c>
      <c r="G80" t="s">
        <v>18</v>
      </c>
      <c r="H80">
        <v>80562.81</v>
      </c>
      <c r="I80">
        <v>7470</v>
      </c>
      <c r="J80">
        <v>0.17199999999999999</v>
      </c>
      <c r="K80">
        <v>16</v>
      </c>
      <c r="L80">
        <v>83.5</v>
      </c>
      <c r="M80">
        <v>2.29</v>
      </c>
      <c r="N80">
        <v>0</v>
      </c>
      <c r="O80">
        <v>3.3</v>
      </c>
      <c r="P80">
        <v>776922.17</v>
      </c>
      <c r="Q80">
        <v>150701.93</v>
      </c>
      <c r="U80">
        <v>0</v>
      </c>
      <c r="V80">
        <v>1</v>
      </c>
      <c r="W80">
        <v>0</v>
      </c>
      <c r="X80">
        <v>80562.81</v>
      </c>
      <c r="Y80">
        <v>7470</v>
      </c>
      <c r="Z80">
        <v>83.5</v>
      </c>
      <c r="AA80">
        <v>3.3</v>
      </c>
      <c r="AB80">
        <f t="shared" si="7"/>
        <v>731090.82596084662</v>
      </c>
    </row>
    <row r="81" spans="1:28">
      <c r="A81" t="s">
        <v>41</v>
      </c>
      <c r="B81" s="2">
        <v>45748</v>
      </c>
      <c r="C81" t="s">
        <v>24</v>
      </c>
      <c r="D81">
        <f t="shared" si="4"/>
        <v>0</v>
      </c>
      <c r="E81">
        <f t="shared" si="5"/>
        <v>1</v>
      </c>
      <c r="F81">
        <f t="shared" si="6"/>
        <v>0</v>
      </c>
      <c r="G81" t="s">
        <v>18</v>
      </c>
      <c r="H81">
        <v>77999.899999999994</v>
      </c>
      <c r="I81">
        <v>5974</v>
      </c>
      <c r="J81">
        <v>0.252</v>
      </c>
      <c r="K81">
        <v>14</v>
      </c>
      <c r="L81">
        <v>81.3</v>
      </c>
      <c r="M81">
        <v>2.39</v>
      </c>
      <c r="N81">
        <v>0</v>
      </c>
      <c r="O81">
        <v>3.2</v>
      </c>
      <c r="P81">
        <v>636561.34</v>
      </c>
      <c r="Q81">
        <v>93861.06</v>
      </c>
      <c r="U81">
        <v>0</v>
      </c>
      <c r="V81">
        <v>1</v>
      </c>
      <c r="W81">
        <v>0</v>
      </c>
      <c r="X81">
        <v>77999.899999999994</v>
      </c>
      <c r="Y81">
        <v>5974</v>
      </c>
      <c r="Z81">
        <v>81.3</v>
      </c>
      <c r="AA81">
        <v>3.2</v>
      </c>
      <c r="AB81">
        <f t="shared" si="7"/>
        <v>669715.7443428823</v>
      </c>
    </row>
    <row r="82" spans="1:28">
      <c r="A82" t="s">
        <v>42</v>
      </c>
      <c r="B82" s="2">
        <v>45658</v>
      </c>
      <c r="C82" t="s">
        <v>27</v>
      </c>
      <c r="D82">
        <f t="shared" si="4"/>
        <v>0</v>
      </c>
      <c r="E82">
        <f t="shared" si="5"/>
        <v>0</v>
      </c>
      <c r="F82">
        <f t="shared" si="6"/>
        <v>1</v>
      </c>
      <c r="G82" t="s">
        <v>28</v>
      </c>
      <c r="H82">
        <v>60881.01</v>
      </c>
      <c r="I82">
        <v>5410</v>
      </c>
      <c r="J82">
        <v>0.17899999999999999</v>
      </c>
      <c r="K82">
        <v>15</v>
      </c>
      <c r="L82">
        <v>83.9</v>
      </c>
      <c r="M82">
        <v>5.24</v>
      </c>
      <c r="N82">
        <v>0</v>
      </c>
      <c r="O82">
        <v>4.5999999999999996</v>
      </c>
      <c r="P82">
        <v>621369.57999999996</v>
      </c>
      <c r="Q82">
        <v>85493.64</v>
      </c>
      <c r="U82">
        <v>0</v>
      </c>
      <c r="V82">
        <v>0</v>
      </c>
      <c r="W82">
        <v>1</v>
      </c>
      <c r="X82">
        <v>60881.01</v>
      </c>
      <c r="Y82">
        <v>5410</v>
      </c>
      <c r="Z82">
        <v>83.9</v>
      </c>
      <c r="AA82">
        <v>4.5999999999999996</v>
      </c>
      <c r="AB82">
        <f t="shared" si="7"/>
        <v>647977.94822028978</v>
      </c>
    </row>
    <row r="83" spans="1:28">
      <c r="A83" t="s">
        <v>42</v>
      </c>
      <c r="B83" s="2">
        <v>45689</v>
      </c>
      <c r="C83" t="s">
        <v>27</v>
      </c>
      <c r="D83">
        <f t="shared" si="4"/>
        <v>0</v>
      </c>
      <c r="E83">
        <f t="shared" si="5"/>
        <v>0</v>
      </c>
      <c r="F83">
        <f t="shared" si="6"/>
        <v>1</v>
      </c>
      <c r="G83" t="s">
        <v>28</v>
      </c>
      <c r="H83">
        <v>60628.38</v>
      </c>
      <c r="I83">
        <v>4451</v>
      </c>
      <c r="J83">
        <v>9.5000000000000001E-2</v>
      </c>
      <c r="K83">
        <v>10</v>
      </c>
      <c r="L83">
        <v>89.6</v>
      </c>
      <c r="M83">
        <v>3.17</v>
      </c>
      <c r="N83">
        <v>0</v>
      </c>
      <c r="O83">
        <v>4.5999999999999996</v>
      </c>
      <c r="P83">
        <v>682208.01</v>
      </c>
      <c r="Q83">
        <v>110318.84</v>
      </c>
      <c r="U83">
        <v>0</v>
      </c>
      <c r="V83">
        <v>0</v>
      </c>
      <c r="W83">
        <v>1</v>
      </c>
      <c r="X83">
        <v>60628.38</v>
      </c>
      <c r="Y83">
        <v>4451</v>
      </c>
      <c r="Z83">
        <v>89.6</v>
      </c>
      <c r="AA83">
        <v>4.5999999999999996</v>
      </c>
      <c r="AB83">
        <f t="shared" si="7"/>
        <v>631537.70367504086</v>
      </c>
    </row>
    <row r="84" spans="1:28">
      <c r="A84" t="s">
        <v>42</v>
      </c>
      <c r="B84" s="2">
        <v>45717</v>
      </c>
      <c r="C84" t="s">
        <v>27</v>
      </c>
      <c r="D84">
        <f t="shared" si="4"/>
        <v>0</v>
      </c>
      <c r="E84">
        <f t="shared" si="5"/>
        <v>0</v>
      </c>
      <c r="F84">
        <f t="shared" si="6"/>
        <v>1</v>
      </c>
      <c r="G84" t="s">
        <v>28</v>
      </c>
      <c r="H84">
        <v>72731.14</v>
      </c>
      <c r="I84">
        <v>4644</v>
      </c>
      <c r="J84">
        <v>8.4000000000000005E-2</v>
      </c>
      <c r="K84">
        <v>15</v>
      </c>
      <c r="L84">
        <v>87.1</v>
      </c>
      <c r="M84">
        <v>2.66</v>
      </c>
      <c r="N84">
        <v>0</v>
      </c>
      <c r="O84">
        <v>4.5999999999999996</v>
      </c>
      <c r="P84">
        <v>727241.86</v>
      </c>
      <c r="Q84">
        <v>155810.29999999999</v>
      </c>
      <c r="U84">
        <v>0</v>
      </c>
      <c r="V84">
        <v>0</v>
      </c>
      <c r="W84">
        <v>1</v>
      </c>
      <c r="X84">
        <v>72731.14</v>
      </c>
      <c r="Y84">
        <v>4644</v>
      </c>
      <c r="Z84">
        <v>87.1</v>
      </c>
      <c r="AA84">
        <v>4.5999999999999996</v>
      </c>
      <c r="AB84">
        <f t="shared" si="7"/>
        <v>645430.65455944859</v>
      </c>
    </row>
    <row r="85" spans="1:28">
      <c r="A85" t="s">
        <v>42</v>
      </c>
      <c r="B85" s="2">
        <v>45748</v>
      </c>
      <c r="C85" t="s">
        <v>27</v>
      </c>
      <c r="D85">
        <f t="shared" si="4"/>
        <v>0</v>
      </c>
      <c r="E85">
        <f t="shared" si="5"/>
        <v>0</v>
      </c>
      <c r="F85">
        <f t="shared" si="6"/>
        <v>1</v>
      </c>
      <c r="G85" t="s">
        <v>28</v>
      </c>
      <c r="H85">
        <v>36475.71</v>
      </c>
      <c r="I85">
        <v>3559</v>
      </c>
      <c r="J85">
        <v>0.03</v>
      </c>
      <c r="K85">
        <v>8</v>
      </c>
      <c r="L85">
        <v>83.6</v>
      </c>
      <c r="M85">
        <v>1.41</v>
      </c>
      <c r="N85">
        <v>0</v>
      </c>
      <c r="O85">
        <v>4.2</v>
      </c>
      <c r="P85">
        <v>569100.78</v>
      </c>
      <c r="Q85">
        <v>104808.78</v>
      </c>
      <c r="U85">
        <v>0</v>
      </c>
      <c r="V85">
        <v>0</v>
      </c>
      <c r="W85">
        <v>1</v>
      </c>
      <c r="X85">
        <v>36475.71</v>
      </c>
      <c r="Y85">
        <v>3559</v>
      </c>
      <c r="Z85">
        <v>83.6</v>
      </c>
      <c r="AA85">
        <v>4.2</v>
      </c>
      <c r="AB85">
        <f t="shared" si="7"/>
        <v>550455.23034596699</v>
      </c>
    </row>
    <row r="86" spans="1:28">
      <c r="A86" t="s">
        <v>43</v>
      </c>
      <c r="B86" s="2">
        <v>45658</v>
      </c>
      <c r="C86" t="s">
        <v>27</v>
      </c>
      <c r="D86">
        <f t="shared" si="4"/>
        <v>0</v>
      </c>
      <c r="E86">
        <f t="shared" si="5"/>
        <v>0</v>
      </c>
      <c r="F86">
        <f t="shared" si="6"/>
        <v>1</v>
      </c>
      <c r="G86" t="s">
        <v>18</v>
      </c>
      <c r="H86">
        <v>55388.11</v>
      </c>
      <c r="I86">
        <v>3091</v>
      </c>
      <c r="J86">
        <v>0.108</v>
      </c>
      <c r="K86">
        <v>7</v>
      </c>
      <c r="L86">
        <v>85.4</v>
      </c>
      <c r="M86">
        <v>7.34</v>
      </c>
      <c r="N86">
        <v>0</v>
      </c>
      <c r="O86">
        <v>4.9000000000000004</v>
      </c>
      <c r="P86">
        <v>574436.29</v>
      </c>
      <c r="Q86">
        <v>80271.990000000005</v>
      </c>
      <c r="U86">
        <v>0</v>
      </c>
      <c r="V86">
        <v>0</v>
      </c>
      <c r="W86">
        <v>1</v>
      </c>
      <c r="X86">
        <v>55388.11</v>
      </c>
      <c r="Y86">
        <v>3091</v>
      </c>
      <c r="Z86">
        <v>85.4</v>
      </c>
      <c r="AA86">
        <v>4.9000000000000004</v>
      </c>
      <c r="AB86">
        <f t="shared" si="7"/>
        <v>570202.08910318941</v>
      </c>
    </row>
    <row r="87" spans="1:28">
      <c r="A87" t="s">
        <v>43</v>
      </c>
      <c r="B87" s="2">
        <v>45689</v>
      </c>
      <c r="C87" t="s">
        <v>27</v>
      </c>
      <c r="D87">
        <f t="shared" si="4"/>
        <v>0</v>
      </c>
      <c r="E87">
        <f t="shared" si="5"/>
        <v>0</v>
      </c>
      <c r="F87">
        <f t="shared" si="6"/>
        <v>1</v>
      </c>
      <c r="G87" t="s">
        <v>18</v>
      </c>
      <c r="H87">
        <v>88443.77</v>
      </c>
      <c r="I87">
        <v>4004</v>
      </c>
      <c r="J87">
        <v>0.20599999999999999</v>
      </c>
      <c r="K87">
        <v>11</v>
      </c>
      <c r="L87">
        <v>91.9</v>
      </c>
      <c r="M87">
        <v>5.95</v>
      </c>
      <c r="N87">
        <v>0</v>
      </c>
      <c r="O87">
        <v>3.92</v>
      </c>
      <c r="P87">
        <v>611766.72</v>
      </c>
      <c r="Q87">
        <v>88275.61</v>
      </c>
      <c r="U87">
        <v>0</v>
      </c>
      <c r="V87">
        <v>0</v>
      </c>
      <c r="W87">
        <v>1</v>
      </c>
      <c r="X87">
        <v>88443.77</v>
      </c>
      <c r="Y87">
        <v>4004</v>
      </c>
      <c r="Z87">
        <v>91.9</v>
      </c>
      <c r="AA87">
        <v>3.92</v>
      </c>
      <c r="AB87">
        <f t="shared" si="7"/>
        <v>648930.94010938751</v>
      </c>
    </row>
    <row r="88" spans="1:28">
      <c r="A88" t="s">
        <v>43</v>
      </c>
      <c r="B88" s="2">
        <v>45717</v>
      </c>
      <c r="C88" t="s">
        <v>27</v>
      </c>
      <c r="D88">
        <f t="shared" si="4"/>
        <v>0</v>
      </c>
      <c r="E88">
        <f t="shared" si="5"/>
        <v>0</v>
      </c>
      <c r="F88">
        <f t="shared" si="6"/>
        <v>1</v>
      </c>
      <c r="G88" t="s">
        <v>18</v>
      </c>
      <c r="H88">
        <v>78231.91</v>
      </c>
      <c r="I88">
        <v>3788</v>
      </c>
      <c r="J88">
        <v>5.8999999999999997E-2</v>
      </c>
      <c r="K88">
        <v>11</v>
      </c>
      <c r="L88">
        <v>88.5</v>
      </c>
      <c r="M88">
        <v>15.51</v>
      </c>
      <c r="N88">
        <v>0</v>
      </c>
      <c r="O88">
        <v>4.3</v>
      </c>
      <c r="P88">
        <v>614596.31999999995</v>
      </c>
      <c r="Q88">
        <v>131199.41</v>
      </c>
      <c r="U88">
        <v>0</v>
      </c>
      <c r="V88">
        <v>0</v>
      </c>
      <c r="W88">
        <v>1</v>
      </c>
      <c r="X88">
        <v>78231.91</v>
      </c>
      <c r="Y88">
        <v>3788</v>
      </c>
      <c r="Z88">
        <v>88.5</v>
      </c>
      <c r="AA88">
        <v>4.3</v>
      </c>
      <c r="AB88">
        <f t="shared" si="7"/>
        <v>623687.49171526823</v>
      </c>
    </row>
    <row r="89" spans="1:28">
      <c r="A89" t="s">
        <v>43</v>
      </c>
      <c r="B89" s="2">
        <v>45748</v>
      </c>
      <c r="C89" t="s">
        <v>27</v>
      </c>
      <c r="D89">
        <f t="shared" si="4"/>
        <v>0</v>
      </c>
      <c r="E89">
        <f t="shared" si="5"/>
        <v>0</v>
      </c>
      <c r="F89">
        <f t="shared" si="6"/>
        <v>1</v>
      </c>
      <c r="G89" t="s">
        <v>18</v>
      </c>
      <c r="H89">
        <v>18996.32</v>
      </c>
      <c r="I89">
        <v>1260</v>
      </c>
      <c r="J89">
        <v>0.14499999999999999</v>
      </c>
      <c r="K89">
        <v>9</v>
      </c>
      <c r="L89">
        <v>86.4</v>
      </c>
      <c r="M89">
        <v>4.3099999999999996</v>
      </c>
      <c r="N89">
        <v>0</v>
      </c>
      <c r="O89">
        <v>4.5999999999999996</v>
      </c>
      <c r="P89">
        <v>450711.92</v>
      </c>
      <c r="Q89">
        <v>90043.76</v>
      </c>
      <c r="U89">
        <v>0</v>
      </c>
      <c r="V89">
        <v>0</v>
      </c>
      <c r="W89">
        <v>1</v>
      </c>
      <c r="X89">
        <v>18996.32</v>
      </c>
      <c r="Y89">
        <v>1260</v>
      </c>
      <c r="Z89">
        <v>86.4</v>
      </c>
      <c r="AA89">
        <v>4.5999999999999996</v>
      </c>
      <c r="AB89">
        <f t="shared" si="7"/>
        <v>463803.27272177627</v>
      </c>
    </row>
    <row r="90" spans="1:28">
      <c r="A90" t="s">
        <v>44</v>
      </c>
      <c r="B90" s="2">
        <v>45658</v>
      </c>
      <c r="C90" t="s">
        <v>24</v>
      </c>
      <c r="D90">
        <f t="shared" si="4"/>
        <v>0</v>
      </c>
      <c r="E90">
        <f t="shared" si="5"/>
        <v>1</v>
      </c>
      <c r="F90">
        <f t="shared" si="6"/>
        <v>0</v>
      </c>
      <c r="G90" t="s">
        <v>28</v>
      </c>
      <c r="H90">
        <v>50517.94</v>
      </c>
      <c r="I90">
        <v>7024</v>
      </c>
      <c r="J90">
        <v>2.9000000000000001E-2</v>
      </c>
      <c r="K90">
        <v>18</v>
      </c>
      <c r="L90">
        <v>79.2</v>
      </c>
      <c r="M90">
        <v>6.61</v>
      </c>
      <c r="N90">
        <v>1</v>
      </c>
      <c r="O90">
        <v>4.0999999999999996</v>
      </c>
      <c r="P90">
        <v>711213.46</v>
      </c>
      <c r="Q90">
        <v>105863.26</v>
      </c>
      <c r="U90">
        <v>0</v>
      </c>
      <c r="V90">
        <v>1</v>
      </c>
      <c r="W90">
        <v>0</v>
      </c>
      <c r="X90">
        <v>50517.94</v>
      </c>
      <c r="Y90">
        <v>7024</v>
      </c>
      <c r="Z90">
        <v>79.2</v>
      </c>
      <c r="AA90">
        <v>4.0999999999999996</v>
      </c>
      <c r="AB90">
        <f t="shared" si="7"/>
        <v>676218.73346008547</v>
      </c>
    </row>
    <row r="91" spans="1:28">
      <c r="A91" t="s">
        <v>44</v>
      </c>
      <c r="B91" s="2">
        <v>45689</v>
      </c>
      <c r="C91" t="s">
        <v>24</v>
      </c>
      <c r="D91">
        <f t="shared" si="4"/>
        <v>0</v>
      </c>
      <c r="E91">
        <f t="shared" si="5"/>
        <v>1</v>
      </c>
      <c r="F91">
        <f t="shared" si="6"/>
        <v>0</v>
      </c>
      <c r="G91" t="s">
        <v>28</v>
      </c>
      <c r="H91">
        <v>141540.29</v>
      </c>
      <c r="I91">
        <v>5400</v>
      </c>
      <c r="J91">
        <v>1.2999999999999999E-2</v>
      </c>
      <c r="K91">
        <v>12</v>
      </c>
      <c r="L91">
        <v>87</v>
      </c>
      <c r="M91">
        <v>4.26</v>
      </c>
      <c r="N91">
        <v>0</v>
      </c>
      <c r="O91">
        <v>4.5</v>
      </c>
      <c r="P91">
        <v>627171.9</v>
      </c>
      <c r="Q91">
        <v>105772.75</v>
      </c>
      <c r="U91">
        <v>0</v>
      </c>
      <c r="V91">
        <v>1</v>
      </c>
      <c r="W91">
        <v>0</v>
      </c>
      <c r="X91">
        <v>141540.29</v>
      </c>
      <c r="Y91">
        <v>5400</v>
      </c>
      <c r="Z91">
        <v>87</v>
      </c>
      <c r="AA91">
        <v>4.5</v>
      </c>
      <c r="AB91">
        <f t="shared" si="7"/>
        <v>757388.57574531913</v>
      </c>
    </row>
    <row r="92" spans="1:28">
      <c r="A92" t="s">
        <v>44</v>
      </c>
      <c r="B92" s="2">
        <v>45717</v>
      </c>
      <c r="C92" t="s">
        <v>24</v>
      </c>
      <c r="D92">
        <f t="shared" si="4"/>
        <v>0</v>
      </c>
      <c r="E92">
        <f t="shared" si="5"/>
        <v>1</v>
      </c>
      <c r="F92">
        <f t="shared" si="6"/>
        <v>0</v>
      </c>
      <c r="G92" t="s">
        <v>28</v>
      </c>
      <c r="H92">
        <v>82116.19</v>
      </c>
      <c r="I92">
        <v>5988</v>
      </c>
      <c r="J92">
        <v>0.04</v>
      </c>
      <c r="K92">
        <v>17</v>
      </c>
      <c r="L92">
        <v>91.8</v>
      </c>
      <c r="M92">
        <v>5.75</v>
      </c>
      <c r="N92">
        <v>0</v>
      </c>
      <c r="O92">
        <v>4.7</v>
      </c>
      <c r="P92">
        <v>739852.58</v>
      </c>
      <c r="Q92">
        <v>129386.43</v>
      </c>
      <c r="U92">
        <v>0</v>
      </c>
      <c r="V92">
        <v>1</v>
      </c>
      <c r="W92">
        <v>0</v>
      </c>
      <c r="X92">
        <v>82116.19</v>
      </c>
      <c r="Y92">
        <v>5988</v>
      </c>
      <c r="Z92">
        <v>91.8</v>
      </c>
      <c r="AA92">
        <v>4.7</v>
      </c>
      <c r="AB92">
        <f t="shared" si="7"/>
        <v>721988.62992419733</v>
      </c>
    </row>
    <row r="93" spans="1:28">
      <c r="A93" t="s">
        <v>44</v>
      </c>
      <c r="B93" s="2">
        <v>45748</v>
      </c>
      <c r="C93" t="s">
        <v>24</v>
      </c>
      <c r="D93">
        <f t="shared" si="4"/>
        <v>0</v>
      </c>
      <c r="E93">
        <f t="shared" si="5"/>
        <v>1</v>
      </c>
      <c r="F93">
        <f t="shared" si="6"/>
        <v>0</v>
      </c>
      <c r="G93" t="s">
        <v>28</v>
      </c>
      <c r="H93">
        <v>31207.51</v>
      </c>
      <c r="I93">
        <v>3701</v>
      </c>
      <c r="J93">
        <v>4.2999999999999997E-2</v>
      </c>
      <c r="K93">
        <v>11</v>
      </c>
      <c r="L93">
        <v>84.7</v>
      </c>
      <c r="M93">
        <v>0.33</v>
      </c>
      <c r="N93">
        <v>0</v>
      </c>
      <c r="O93">
        <v>4.3</v>
      </c>
      <c r="P93">
        <v>586307.22</v>
      </c>
      <c r="Q93">
        <v>73927.850000000006</v>
      </c>
      <c r="U93">
        <v>0</v>
      </c>
      <c r="V93">
        <v>1</v>
      </c>
      <c r="W93">
        <v>0</v>
      </c>
      <c r="X93">
        <v>31207.51</v>
      </c>
      <c r="Y93">
        <v>3701</v>
      </c>
      <c r="Z93">
        <v>84.7</v>
      </c>
      <c r="AA93">
        <v>4.3</v>
      </c>
      <c r="AB93">
        <f t="shared" si="7"/>
        <v>558154.67209478375</v>
      </c>
    </row>
    <row r="94" spans="1:28">
      <c r="A94" t="s">
        <v>45</v>
      </c>
      <c r="B94" s="2">
        <v>45658</v>
      </c>
      <c r="C94" t="s">
        <v>27</v>
      </c>
      <c r="D94">
        <f t="shared" si="4"/>
        <v>0</v>
      </c>
      <c r="E94">
        <f t="shared" si="5"/>
        <v>0</v>
      </c>
      <c r="F94">
        <f t="shared" si="6"/>
        <v>1</v>
      </c>
      <c r="G94" t="s">
        <v>16</v>
      </c>
      <c r="H94">
        <v>38966.589999999997</v>
      </c>
      <c r="I94">
        <v>4509</v>
      </c>
      <c r="J94">
        <v>0.19400000000000001</v>
      </c>
      <c r="K94">
        <v>14</v>
      </c>
      <c r="L94">
        <v>91.1</v>
      </c>
      <c r="M94">
        <v>2.92</v>
      </c>
      <c r="N94">
        <v>0</v>
      </c>
      <c r="O94">
        <v>4.5999999999999996</v>
      </c>
      <c r="P94">
        <v>585937.48</v>
      </c>
      <c r="Q94">
        <v>82624.2</v>
      </c>
      <c r="U94">
        <v>0</v>
      </c>
      <c r="V94">
        <v>0</v>
      </c>
      <c r="W94">
        <v>1</v>
      </c>
      <c r="X94">
        <v>38966.589999999997</v>
      </c>
      <c r="Y94">
        <v>4509</v>
      </c>
      <c r="Z94">
        <v>91.1</v>
      </c>
      <c r="AA94">
        <v>4.5999999999999996</v>
      </c>
      <c r="AB94">
        <f t="shared" si="7"/>
        <v>611795.49921027781</v>
      </c>
    </row>
    <row r="95" spans="1:28">
      <c r="A95" t="s">
        <v>45</v>
      </c>
      <c r="B95" s="2">
        <v>45689</v>
      </c>
      <c r="C95" t="s">
        <v>27</v>
      </c>
      <c r="D95">
        <f t="shared" si="4"/>
        <v>0</v>
      </c>
      <c r="E95">
        <f t="shared" si="5"/>
        <v>0</v>
      </c>
      <c r="F95">
        <f t="shared" si="6"/>
        <v>1</v>
      </c>
      <c r="G95" t="s">
        <v>16</v>
      </c>
      <c r="H95">
        <v>67439.3</v>
      </c>
      <c r="I95">
        <v>6477</v>
      </c>
      <c r="J95">
        <v>0</v>
      </c>
      <c r="K95">
        <v>16</v>
      </c>
      <c r="L95">
        <v>90.9</v>
      </c>
      <c r="M95">
        <v>1.64</v>
      </c>
      <c r="N95">
        <v>0</v>
      </c>
      <c r="O95">
        <v>4.5</v>
      </c>
      <c r="P95">
        <v>753473.55</v>
      </c>
      <c r="Q95">
        <v>151527.22</v>
      </c>
      <c r="U95">
        <v>0</v>
      </c>
      <c r="V95">
        <v>0</v>
      </c>
      <c r="W95">
        <v>1</v>
      </c>
      <c r="X95">
        <v>67439.3</v>
      </c>
      <c r="Y95">
        <v>6477</v>
      </c>
      <c r="Z95">
        <v>90.9</v>
      </c>
      <c r="AA95">
        <v>4.5</v>
      </c>
      <c r="AB95">
        <f t="shared" si="7"/>
        <v>711228.65124588681</v>
      </c>
    </row>
    <row r="96" spans="1:28">
      <c r="A96" t="s">
        <v>45</v>
      </c>
      <c r="B96" s="2">
        <v>45717</v>
      </c>
      <c r="C96" t="s">
        <v>27</v>
      </c>
      <c r="D96">
        <f t="shared" si="4"/>
        <v>0</v>
      </c>
      <c r="E96">
        <f t="shared" si="5"/>
        <v>0</v>
      </c>
      <c r="F96">
        <f t="shared" si="6"/>
        <v>1</v>
      </c>
      <c r="G96" t="s">
        <v>16</v>
      </c>
      <c r="H96">
        <v>86421.88</v>
      </c>
      <c r="I96">
        <v>7970</v>
      </c>
      <c r="J96">
        <v>7.2999999999999995E-2</v>
      </c>
      <c r="K96">
        <v>17</v>
      </c>
      <c r="L96">
        <v>91.3</v>
      </c>
      <c r="M96">
        <v>0.8</v>
      </c>
      <c r="N96">
        <v>0</v>
      </c>
      <c r="O96">
        <v>5</v>
      </c>
      <c r="P96">
        <v>838250.32</v>
      </c>
      <c r="Q96">
        <v>122939.34</v>
      </c>
      <c r="U96">
        <v>0</v>
      </c>
      <c r="V96">
        <v>0</v>
      </c>
      <c r="W96">
        <v>1</v>
      </c>
      <c r="X96">
        <v>86421.88</v>
      </c>
      <c r="Y96">
        <v>7970</v>
      </c>
      <c r="Z96">
        <v>91.3</v>
      </c>
      <c r="AA96">
        <v>5</v>
      </c>
      <c r="AB96">
        <f t="shared" si="7"/>
        <v>791456.58592196694</v>
      </c>
    </row>
    <row r="97" spans="1:28">
      <c r="A97" t="s">
        <v>45</v>
      </c>
      <c r="B97" s="2">
        <v>45748</v>
      </c>
      <c r="C97" t="s">
        <v>27</v>
      </c>
      <c r="D97">
        <f t="shared" si="4"/>
        <v>0</v>
      </c>
      <c r="E97">
        <f t="shared" si="5"/>
        <v>0</v>
      </c>
      <c r="F97">
        <f t="shared" si="6"/>
        <v>1</v>
      </c>
      <c r="G97" t="s">
        <v>16</v>
      </c>
      <c r="H97">
        <v>9534.65</v>
      </c>
      <c r="I97">
        <v>6057</v>
      </c>
      <c r="J97">
        <v>7.3999999999999996E-2</v>
      </c>
      <c r="K97">
        <v>15</v>
      </c>
      <c r="L97">
        <v>94.1</v>
      </c>
      <c r="M97">
        <v>5.79</v>
      </c>
      <c r="N97">
        <v>0</v>
      </c>
      <c r="O97">
        <v>4.5</v>
      </c>
      <c r="P97">
        <v>607898.12</v>
      </c>
      <c r="Q97">
        <v>135404.85</v>
      </c>
      <c r="U97">
        <v>0</v>
      </c>
      <c r="V97">
        <v>0</v>
      </c>
      <c r="W97">
        <v>1</v>
      </c>
      <c r="X97">
        <v>9534.65</v>
      </c>
      <c r="Y97">
        <v>6057</v>
      </c>
      <c r="Z97">
        <v>94.1</v>
      </c>
      <c r="AA97">
        <v>4.5</v>
      </c>
      <c r="AB97">
        <f t="shared" si="7"/>
        <v>636575.59550168843</v>
      </c>
    </row>
    <row r="98" spans="1:28">
      <c r="A98" t="s">
        <v>46</v>
      </c>
      <c r="B98" s="2">
        <v>45658</v>
      </c>
      <c r="C98" t="s">
        <v>27</v>
      </c>
      <c r="D98">
        <f t="shared" si="4"/>
        <v>0</v>
      </c>
      <c r="E98">
        <f t="shared" si="5"/>
        <v>0</v>
      </c>
      <c r="F98">
        <f t="shared" si="6"/>
        <v>1</v>
      </c>
      <c r="G98" t="s">
        <v>28</v>
      </c>
      <c r="H98">
        <v>61132.07</v>
      </c>
      <c r="I98">
        <v>6394</v>
      </c>
      <c r="J98">
        <v>0.16300000000000001</v>
      </c>
      <c r="K98">
        <v>19</v>
      </c>
      <c r="L98">
        <v>91</v>
      </c>
      <c r="M98">
        <v>19.600000000000001</v>
      </c>
      <c r="N98">
        <v>0</v>
      </c>
      <c r="O98">
        <v>4.4000000000000004</v>
      </c>
      <c r="P98">
        <v>691113.62</v>
      </c>
      <c r="Q98">
        <v>135145.44</v>
      </c>
      <c r="U98">
        <v>0</v>
      </c>
      <c r="V98">
        <v>0</v>
      </c>
      <c r="W98">
        <v>1</v>
      </c>
      <c r="X98">
        <v>61132.07</v>
      </c>
      <c r="Y98">
        <v>6394</v>
      </c>
      <c r="Z98">
        <v>91</v>
      </c>
      <c r="AA98">
        <v>4.4000000000000004</v>
      </c>
      <c r="AB98">
        <f t="shared" si="7"/>
        <v>700011.11766758829</v>
      </c>
    </row>
    <row r="99" spans="1:28">
      <c r="A99" t="s">
        <v>46</v>
      </c>
      <c r="B99" s="2">
        <v>45689</v>
      </c>
      <c r="C99" t="s">
        <v>27</v>
      </c>
      <c r="D99">
        <f t="shared" si="4"/>
        <v>0</v>
      </c>
      <c r="E99">
        <f t="shared" si="5"/>
        <v>0</v>
      </c>
      <c r="F99">
        <f t="shared" si="6"/>
        <v>1</v>
      </c>
      <c r="G99" t="s">
        <v>28</v>
      </c>
      <c r="H99">
        <v>78839.39</v>
      </c>
      <c r="I99">
        <v>5150</v>
      </c>
      <c r="J99">
        <v>0.17100000000000001</v>
      </c>
      <c r="K99">
        <v>13</v>
      </c>
      <c r="L99">
        <v>85.8</v>
      </c>
      <c r="M99">
        <v>7.57</v>
      </c>
      <c r="N99">
        <v>0</v>
      </c>
      <c r="O99">
        <v>4.3</v>
      </c>
      <c r="P99">
        <v>735509.4</v>
      </c>
      <c r="Q99">
        <v>83895.96</v>
      </c>
      <c r="U99">
        <v>0</v>
      </c>
      <c r="V99">
        <v>0</v>
      </c>
      <c r="W99">
        <v>1</v>
      </c>
      <c r="X99">
        <v>78839.39</v>
      </c>
      <c r="Y99">
        <v>5150</v>
      </c>
      <c r="Z99">
        <v>85.8</v>
      </c>
      <c r="AA99">
        <v>4.3</v>
      </c>
      <c r="AB99">
        <f t="shared" si="7"/>
        <v>662910.22244958067</v>
      </c>
    </row>
    <row r="100" spans="1:28">
      <c r="A100" t="s">
        <v>46</v>
      </c>
      <c r="B100" s="2">
        <v>45717</v>
      </c>
      <c r="C100" t="s">
        <v>27</v>
      </c>
      <c r="D100">
        <f t="shared" si="4"/>
        <v>0</v>
      </c>
      <c r="E100">
        <f t="shared" si="5"/>
        <v>0</v>
      </c>
      <c r="F100">
        <f t="shared" si="6"/>
        <v>1</v>
      </c>
      <c r="G100" t="s">
        <v>28</v>
      </c>
      <c r="H100">
        <v>38752.800000000003</v>
      </c>
      <c r="I100">
        <v>4712</v>
      </c>
      <c r="J100">
        <v>7.4999999999999997E-2</v>
      </c>
      <c r="K100">
        <v>15</v>
      </c>
      <c r="L100">
        <v>89.7</v>
      </c>
      <c r="M100">
        <v>4.5590445859872624</v>
      </c>
      <c r="N100">
        <v>0</v>
      </c>
      <c r="O100">
        <v>4.3</v>
      </c>
      <c r="P100">
        <v>605775.32999999996</v>
      </c>
      <c r="Q100">
        <v>107194.6</v>
      </c>
      <c r="U100">
        <v>0</v>
      </c>
      <c r="V100">
        <v>0</v>
      </c>
      <c r="W100">
        <v>1</v>
      </c>
      <c r="X100">
        <v>38752.800000000003</v>
      </c>
      <c r="Y100">
        <v>4712</v>
      </c>
      <c r="Z100">
        <v>89.7</v>
      </c>
      <c r="AA100">
        <v>4.3</v>
      </c>
      <c r="AB100">
        <f t="shared" si="7"/>
        <v>611088.34352781286</v>
      </c>
    </row>
    <row r="101" spans="1:28">
      <c r="A101" t="s">
        <v>46</v>
      </c>
      <c r="B101" s="2">
        <v>45748</v>
      </c>
      <c r="C101" t="s">
        <v>27</v>
      </c>
      <c r="D101">
        <f t="shared" si="4"/>
        <v>0</v>
      </c>
      <c r="E101">
        <f t="shared" si="5"/>
        <v>0</v>
      </c>
      <c r="F101">
        <f t="shared" si="6"/>
        <v>1</v>
      </c>
      <c r="G101" t="s">
        <v>28</v>
      </c>
      <c r="H101">
        <v>55101.1</v>
      </c>
      <c r="I101">
        <v>5281</v>
      </c>
      <c r="J101">
        <v>0.189</v>
      </c>
      <c r="K101">
        <v>11</v>
      </c>
      <c r="L101">
        <v>91</v>
      </c>
      <c r="M101">
        <v>2.7</v>
      </c>
      <c r="N101">
        <v>0</v>
      </c>
      <c r="O101">
        <v>4.4000000000000004</v>
      </c>
      <c r="P101">
        <v>675177.68</v>
      </c>
      <c r="Q101">
        <v>105628.68</v>
      </c>
      <c r="U101">
        <v>0</v>
      </c>
      <c r="V101">
        <v>0</v>
      </c>
      <c r="W101">
        <v>1</v>
      </c>
      <c r="X101">
        <v>55101.1</v>
      </c>
      <c r="Y101">
        <v>5281</v>
      </c>
      <c r="Z101">
        <v>91</v>
      </c>
      <c r="AA101">
        <v>4.4000000000000004</v>
      </c>
      <c r="AB101">
        <f t="shared" si="7"/>
        <v>654935.76548724354</v>
      </c>
    </row>
    <row r="102" spans="1:28">
      <c r="A102" t="s">
        <v>47</v>
      </c>
      <c r="B102" s="2">
        <v>45658</v>
      </c>
      <c r="C102" t="s">
        <v>15</v>
      </c>
      <c r="D102">
        <f t="shared" si="4"/>
        <v>0</v>
      </c>
      <c r="E102">
        <f t="shared" si="5"/>
        <v>0</v>
      </c>
      <c r="F102">
        <f t="shared" si="6"/>
        <v>0</v>
      </c>
      <c r="G102" t="s">
        <v>28</v>
      </c>
      <c r="H102">
        <v>53084.76</v>
      </c>
      <c r="I102">
        <v>3642</v>
      </c>
      <c r="J102">
        <v>0.15</v>
      </c>
      <c r="K102">
        <v>12</v>
      </c>
      <c r="L102">
        <v>91.4</v>
      </c>
      <c r="M102">
        <v>0.2</v>
      </c>
      <c r="N102">
        <v>0</v>
      </c>
      <c r="O102">
        <v>4.4000000000000004</v>
      </c>
      <c r="P102">
        <v>635181.35</v>
      </c>
      <c r="Q102">
        <v>83341.25</v>
      </c>
      <c r="U102">
        <v>0</v>
      </c>
      <c r="V102">
        <v>0</v>
      </c>
      <c r="W102">
        <v>0</v>
      </c>
      <c r="X102">
        <v>53084.76</v>
      </c>
      <c r="Y102">
        <v>3642</v>
      </c>
      <c r="Z102">
        <v>91.4</v>
      </c>
      <c r="AA102">
        <v>4.4000000000000004</v>
      </c>
      <c r="AB102">
        <f t="shared" si="7"/>
        <v>580923.23766560981</v>
      </c>
    </row>
    <row r="103" spans="1:28">
      <c r="A103" t="s">
        <v>47</v>
      </c>
      <c r="B103" s="2">
        <v>45689</v>
      </c>
      <c r="C103" t="s">
        <v>15</v>
      </c>
      <c r="D103">
        <f t="shared" si="4"/>
        <v>0</v>
      </c>
      <c r="E103">
        <f t="shared" si="5"/>
        <v>0</v>
      </c>
      <c r="F103">
        <f t="shared" si="6"/>
        <v>0</v>
      </c>
      <c r="G103" t="s">
        <v>28</v>
      </c>
      <c r="H103">
        <v>63101.59</v>
      </c>
      <c r="I103">
        <v>4373</v>
      </c>
      <c r="J103">
        <v>0.17299999999999999</v>
      </c>
      <c r="K103">
        <v>14</v>
      </c>
      <c r="L103">
        <v>90.4</v>
      </c>
      <c r="M103">
        <v>7.87</v>
      </c>
      <c r="N103">
        <v>0</v>
      </c>
      <c r="O103">
        <v>4.7</v>
      </c>
      <c r="P103">
        <v>586626.93999999994</v>
      </c>
      <c r="Q103">
        <v>86498.55</v>
      </c>
      <c r="U103">
        <v>0</v>
      </c>
      <c r="V103">
        <v>0</v>
      </c>
      <c r="W103">
        <v>0</v>
      </c>
      <c r="X103">
        <v>63101.59</v>
      </c>
      <c r="Y103">
        <v>4373</v>
      </c>
      <c r="Z103">
        <v>90.4</v>
      </c>
      <c r="AA103">
        <v>4.7</v>
      </c>
      <c r="AB103">
        <f t="shared" si="7"/>
        <v>618229.45966295782</v>
      </c>
    </row>
    <row r="104" spans="1:28">
      <c r="A104" t="s">
        <v>47</v>
      </c>
      <c r="B104" s="2">
        <v>45717</v>
      </c>
      <c r="C104" t="s">
        <v>15</v>
      </c>
      <c r="D104">
        <f t="shared" si="4"/>
        <v>0</v>
      </c>
      <c r="E104">
        <f t="shared" si="5"/>
        <v>0</v>
      </c>
      <c r="F104">
        <f t="shared" si="6"/>
        <v>0</v>
      </c>
      <c r="G104" t="s">
        <v>28</v>
      </c>
      <c r="H104">
        <v>90084.4</v>
      </c>
      <c r="I104">
        <v>6832</v>
      </c>
      <c r="J104">
        <v>0.185</v>
      </c>
      <c r="K104">
        <v>14</v>
      </c>
      <c r="L104">
        <v>80.5</v>
      </c>
      <c r="M104">
        <v>0.77</v>
      </c>
      <c r="N104">
        <v>1</v>
      </c>
      <c r="O104">
        <v>4.4000000000000004</v>
      </c>
      <c r="P104">
        <v>740102.64</v>
      </c>
      <c r="Q104">
        <v>114299.07</v>
      </c>
      <c r="U104">
        <v>0</v>
      </c>
      <c r="V104">
        <v>0</v>
      </c>
      <c r="W104">
        <v>0</v>
      </c>
      <c r="X104">
        <v>90084.4</v>
      </c>
      <c r="Y104">
        <v>6832</v>
      </c>
      <c r="Z104">
        <v>80.5</v>
      </c>
      <c r="AA104">
        <v>4.4000000000000004</v>
      </c>
      <c r="AB104">
        <f t="shared" si="7"/>
        <v>702351.28985989443</v>
      </c>
    </row>
    <row r="105" spans="1:28">
      <c r="A105" t="s">
        <v>47</v>
      </c>
      <c r="B105" s="2">
        <v>45748</v>
      </c>
      <c r="C105" t="s">
        <v>15</v>
      </c>
      <c r="D105">
        <f t="shared" si="4"/>
        <v>0</v>
      </c>
      <c r="E105">
        <f t="shared" si="5"/>
        <v>0</v>
      </c>
      <c r="F105">
        <f t="shared" si="6"/>
        <v>0</v>
      </c>
      <c r="G105" t="s">
        <v>28</v>
      </c>
      <c r="H105">
        <v>32266.639999999999</v>
      </c>
      <c r="I105">
        <v>2414</v>
      </c>
      <c r="J105">
        <v>0.08</v>
      </c>
      <c r="K105">
        <v>7</v>
      </c>
      <c r="L105">
        <v>92.1</v>
      </c>
      <c r="M105">
        <v>1.48</v>
      </c>
      <c r="N105">
        <v>0</v>
      </c>
      <c r="O105">
        <v>5</v>
      </c>
      <c r="P105">
        <v>625514.04</v>
      </c>
      <c r="Q105">
        <v>120685.08</v>
      </c>
      <c r="U105">
        <v>0</v>
      </c>
      <c r="V105">
        <v>0</v>
      </c>
      <c r="W105">
        <v>0</v>
      </c>
      <c r="X105">
        <v>32266.639999999999</v>
      </c>
      <c r="Y105">
        <v>2414</v>
      </c>
      <c r="Z105">
        <v>92.1</v>
      </c>
      <c r="AA105">
        <v>5</v>
      </c>
      <c r="AB105">
        <f t="shared" si="7"/>
        <v>522797.20782839664</v>
      </c>
    </row>
    <row r="106" spans="1:28">
      <c r="A106" t="s">
        <v>48</v>
      </c>
      <c r="B106" s="2">
        <v>45658</v>
      </c>
      <c r="C106" t="s">
        <v>27</v>
      </c>
      <c r="D106">
        <f t="shared" si="4"/>
        <v>0</v>
      </c>
      <c r="E106">
        <f t="shared" si="5"/>
        <v>0</v>
      </c>
      <c r="F106">
        <f t="shared" si="6"/>
        <v>1</v>
      </c>
      <c r="G106" t="s">
        <v>18</v>
      </c>
      <c r="H106">
        <v>57919.07</v>
      </c>
      <c r="I106">
        <v>7374</v>
      </c>
      <c r="J106">
        <v>0.10299999999999999</v>
      </c>
      <c r="K106">
        <v>21</v>
      </c>
      <c r="L106">
        <v>82.3</v>
      </c>
      <c r="M106">
        <v>2.87</v>
      </c>
      <c r="N106">
        <v>0</v>
      </c>
      <c r="O106">
        <v>2.9</v>
      </c>
      <c r="P106">
        <v>727227.2</v>
      </c>
      <c r="Q106">
        <v>121292.01</v>
      </c>
      <c r="U106">
        <v>0</v>
      </c>
      <c r="V106">
        <v>0</v>
      </c>
      <c r="W106">
        <v>1</v>
      </c>
      <c r="X106">
        <v>57919.07</v>
      </c>
      <c r="Y106">
        <v>7374</v>
      </c>
      <c r="Z106">
        <v>82.3</v>
      </c>
      <c r="AA106">
        <v>2.9</v>
      </c>
      <c r="AB106">
        <f t="shared" si="7"/>
        <v>687800.70705490035</v>
      </c>
    </row>
    <row r="107" spans="1:28">
      <c r="A107" t="s">
        <v>48</v>
      </c>
      <c r="B107" s="2">
        <v>45689</v>
      </c>
      <c r="C107" t="s">
        <v>27</v>
      </c>
      <c r="D107">
        <f t="shared" si="4"/>
        <v>0</v>
      </c>
      <c r="E107">
        <f t="shared" si="5"/>
        <v>0</v>
      </c>
      <c r="F107">
        <f t="shared" si="6"/>
        <v>1</v>
      </c>
      <c r="G107" t="s">
        <v>18</v>
      </c>
      <c r="H107">
        <v>74679.350000000006</v>
      </c>
      <c r="I107">
        <v>8739</v>
      </c>
      <c r="J107">
        <v>5.6000000000000001E-2</v>
      </c>
      <c r="K107">
        <v>21</v>
      </c>
      <c r="L107">
        <v>91.8</v>
      </c>
      <c r="M107">
        <v>2.83</v>
      </c>
      <c r="N107">
        <v>0</v>
      </c>
      <c r="O107">
        <v>3</v>
      </c>
      <c r="P107">
        <v>783797.89</v>
      </c>
      <c r="Q107">
        <v>157620.70000000001</v>
      </c>
      <c r="U107">
        <v>0</v>
      </c>
      <c r="V107">
        <v>0</v>
      </c>
      <c r="W107">
        <v>1</v>
      </c>
      <c r="X107">
        <v>74679.350000000006</v>
      </c>
      <c r="Y107">
        <v>8739</v>
      </c>
      <c r="Z107">
        <v>91.8</v>
      </c>
      <c r="AA107">
        <v>3</v>
      </c>
      <c r="AB107">
        <f t="shared" si="7"/>
        <v>782866.13433765562</v>
      </c>
    </row>
    <row r="108" spans="1:28">
      <c r="A108" t="s">
        <v>48</v>
      </c>
      <c r="B108" s="2">
        <v>45717</v>
      </c>
      <c r="C108" t="s">
        <v>27</v>
      </c>
      <c r="D108">
        <f t="shared" si="4"/>
        <v>0</v>
      </c>
      <c r="E108">
        <f t="shared" si="5"/>
        <v>0</v>
      </c>
      <c r="F108">
        <f t="shared" si="6"/>
        <v>1</v>
      </c>
      <c r="G108" t="s">
        <v>18</v>
      </c>
      <c r="H108">
        <v>64294.23</v>
      </c>
      <c r="I108">
        <v>6992</v>
      </c>
      <c r="J108">
        <v>0.13300000000000001</v>
      </c>
      <c r="K108">
        <v>14</v>
      </c>
      <c r="L108">
        <v>94.1</v>
      </c>
      <c r="M108">
        <v>0.25</v>
      </c>
      <c r="N108">
        <v>0</v>
      </c>
      <c r="O108">
        <v>3</v>
      </c>
      <c r="P108">
        <v>795153.84</v>
      </c>
      <c r="Q108">
        <v>143194.21</v>
      </c>
      <c r="U108">
        <v>0</v>
      </c>
      <c r="V108">
        <v>0</v>
      </c>
      <c r="W108">
        <v>1</v>
      </c>
      <c r="X108">
        <v>64294.23</v>
      </c>
      <c r="Y108">
        <v>6992</v>
      </c>
      <c r="Z108">
        <v>94.1</v>
      </c>
      <c r="AA108">
        <v>3</v>
      </c>
      <c r="AB108">
        <f t="shared" si="7"/>
        <v>717649.37470718054</v>
      </c>
    </row>
    <row r="109" spans="1:28">
      <c r="A109" t="s">
        <v>48</v>
      </c>
      <c r="B109" s="2">
        <v>45748</v>
      </c>
      <c r="C109" t="s">
        <v>27</v>
      </c>
      <c r="D109">
        <f t="shared" si="4"/>
        <v>0</v>
      </c>
      <c r="E109">
        <f t="shared" si="5"/>
        <v>0</v>
      </c>
      <c r="F109">
        <f t="shared" si="6"/>
        <v>1</v>
      </c>
      <c r="G109" t="s">
        <v>18</v>
      </c>
      <c r="H109">
        <v>31042.03</v>
      </c>
      <c r="I109">
        <v>7107</v>
      </c>
      <c r="J109">
        <v>5.0999999999999997E-2</v>
      </c>
      <c r="K109">
        <v>15</v>
      </c>
      <c r="L109">
        <v>87</v>
      </c>
      <c r="M109">
        <v>13.33</v>
      </c>
      <c r="N109">
        <v>0</v>
      </c>
      <c r="O109">
        <v>3.2</v>
      </c>
      <c r="P109">
        <v>665594.93999999994</v>
      </c>
      <c r="Q109">
        <v>127597.34</v>
      </c>
      <c r="U109">
        <v>0</v>
      </c>
      <c r="V109">
        <v>0</v>
      </c>
      <c r="W109">
        <v>1</v>
      </c>
      <c r="X109">
        <v>31042.03</v>
      </c>
      <c r="Y109">
        <v>7107</v>
      </c>
      <c r="Z109">
        <v>87</v>
      </c>
      <c r="AA109">
        <v>3.2</v>
      </c>
      <c r="AB109">
        <f t="shared" si="7"/>
        <v>663288.51118670334</v>
      </c>
    </row>
    <row r="110" spans="1:28">
      <c r="A110" t="s">
        <v>49</v>
      </c>
      <c r="B110" s="2">
        <v>45658</v>
      </c>
      <c r="C110" t="s">
        <v>15</v>
      </c>
      <c r="D110">
        <f t="shared" si="4"/>
        <v>0</v>
      </c>
      <c r="E110">
        <f t="shared" si="5"/>
        <v>0</v>
      </c>
      <c r="F110">
        <f t="shared" si="6"/>
        <v>0</v>
      </c>
      <c r="G110" t="s">
        <v>28</v>
      </c>
      <c r="H110">
        <v>75265.02</v>
      </c>
      <c r="I110">
        <v>6975</v>
      </c>
      <c r="J110">
        <v>0.157</v>
      </c>
      <c r="K110">
        <v>20</v>
      </c>
      <c r="L110">
        <v>73.8</v>
      </c>
      <c r="M110">
        <v>6.35</v>
      </c>
      <c r="N110">
        <v>1</v>
      </c>
      <c r="O110">
        <v>3.8</v>
      </c>
      <c r="P110">
        <v>709478.39</v>
      </c>
      <c r="Q110">
        <v>71294.27</v>
      </c>
      <c r="U110">
        <v>0</v>
      </c>
      <c r="V110">
        <v>0</v>
      </c>
      <c r="W110">
        <v>0</v>
      </c>
      <c r="X110">
        <v>75265.02</v>
      </c>
      <c r="Y110">
        <v>6975</v>
      </c>
      <c r="Z110">
        <v>73.8</v>
      </c>
      <c r="AA110">
        <v>3.8</v>
      </c>
      <c r="AB110">
        <f t="shared" si="7"/>
        <v>663437.97572485765</v>
      </c>
    </row>
    <row r="111" spans="1:28">
      <c r="A111" t="s">
        <v>49</v>
      </c>
      <c r="B111" s="2">
        <v>45689</v>
      </c>
      <c r="C111" t="s">
        <v>15</v>
      </c>
      <c r="D111">
        <f t="shared" si="4"/>
        <v>0</v>
      </c>
      <c r="E111">
        <f t="shared" si="5"/>
        <v>0</v>
      </c>
      <c r="F111">
        <f t="shared" si="6"/>
        <v>0</v>
      </c>
      <c r="G111" t="s">
        <v>28</v>
      </c>
      <c r="H111">
        <v>69411.7</v>
      </c>
      <c r="I111">
        <v>5493</v>
      </c>
      <c r="J111">
        <v>0.29199999999999998</v>
      </c>
      <c r="K111">
        <v>13</v>
      </c>
      <c r="L111">
        <v>86.5</v>
      </c>
      <c r="M111">
        <v>6.69</v>
      </c>
      <c r="N111">
        <v>0</v>
      </c>
      <c r="O111">
        <v>3.8</v>
      </c>
      <c r="P111">
        <v>664162.49</v>
      </c>
      <c r="Q111">
        <v>98291.06</v>
      </c>
      <c r="U111">
        <v>0</v>
      </c>
      <c r="V111">
        <v>0</v>
      </c>
      <c r="W111">
        <v>0</v>
      </c>
      <c r="X111">
        <v>69411.7</v>
      </c>
      <c r="Y111">
        <v>5493</v>
      </c>
      <c r="Z111">
        <v>86.5</v>
      </c>
      <c r="AA111">
        <v>3.8</v>
      </c>
      <c r="AB111">
        <f t="shared" si="7"/>
        <v>642697.54744018929</v>
      </c>
    </row>
    <row r="112" spans="1:28">
      <c r="A112" t="s">
        <v>49</v>
      </c>
      <c r="B112" s="2">
        <v>45717</v>
      </c>
      <c r="C112" t="s">
        <v>15</v>
      </c>
      <c r="D112">
        <f t="shared" si="4"/>
        <v>0</v>
      </c>
      <c r="E112">
        <f t="shared" si="5"/>
        <v>0</v>
      </c>
      <c r="F112">
        <f t="shared" si="6"/>
        <v>0</v>
      </c>
      <c r="G112" t="s">
        <v>28</v>
      </c>
      <c r="H112">
        <v>51056.15</v>
      </c>
      <c r="I112">
        <v>5686</v>
      </c>
      <c r="J112">
        <v>8.8999999999999996E-2</v>
      </c>
      <c r="K112">
        <v>13</v>
      </c>
      <c r="L112">
        <v>89.9</v>
      </c>
      <c r="M112">
        <v>1.28</v>
      </c>
      <c r="N112">
        <v>0</v>
      </c>
      <c r="O112">
        <v>4.2</v>
      </c>
      <c r="P112">
        <v>633494.21</v>
      </c>
      <c r="Q112">
        <v>105739.47</v>
      </c>
      <c r="U112">
        <v>0</v>
      </c>
      <c r="V112">
        <v>0</v>
      </c>
      <c r="W112">
        <v>0</v>
      </c>
      <c r="X112">
        <v>51056.15</v>
      </c>
      <c r="Y112">
        <v>5686</v>
      </c>
      <c r="Z112">
        <v>89.9</v>
      </c>
      <c r="AA112">
        <v>4.2</v>
      </c>
      <c r="AB112">
        <f t="shared" si="7"/>
        <v>641413.01406764239</v>
      </c>
    </row>
    <row r="113" spans="1:28">
      <c r="A113" t="s">
        <v>49</v>
      </c>
      <c r="B113" s="2">
        <v>45748</v>
      </c>
      <c r="C113" t="s">
        <v>15</v>
      </c>
      <c r="D113">
        <f t="shared" si="4"/>
        <v>0</v>
      </c>
      <c r="E113">
        <f t="shared" si="5"/>
        <v>0</v>
      </c>
      <c r="F113">
        <f t="shared" si="6"/>
        <v>0</v>
      </c>
      <c r="G113" t="s">
        <v>28</v>
      </c>
      <c r="H113">
        <v>52758.01</v>
      </c>
      <c r="I113">
        <v>4063</v>
      </c>
      <c r="J113">
        <v>5.7000000000000002E-2</v>
      </c>
      <c r="K113">
        <v>12</v>
      </c>
      <c r="L113">
        <v>91.7</v>
      </c>
      <c r="M113">
        <v>0.92</v>
      </c>
      <c r="N113">
        <v>0</v>
      </c>
      <c r="O113">
        <v>3.5</v>
      </c>
      <c r="P113">
        <v>713611.16</v>
      </c>
      <c r="Q113">
        <v>129717.18</v>
      </c>
      <c r="U113">
        <v>0</v>
      </c>
      <c r="V113">
        <v>0</v>
      </c>
      <c r="W113">
        <v>0</v>
      </c>
      <c r="X113">
        <v>52758.01</v>
      </c>
      <c r="Y113">
        <v>4063</v>
      </c>
      <c r="Z113">
        <v>91.7</v>
      </c>
      <c r="AA113">
        <v>3.5</v>
      </c>
      <c r="AB113">
        <f t="shared" si="7"/>
        <v>585781.29579013167</v>
      </c>
    </row>
    <row r="114" spans="1:28">
      <c r="A114" t="s">
        <v>50</v>
      </c>
      <c r="B114" s="2">
        <v>45658</v>
      </c>
      <c r="C114" t="s">
        <v>27</v>
      </c>
      <c r="D114">
        <f t="shared" si="4"/>
        <v>0</v>
      </c>
      <c r="E114">
        <f t="shared" si="5"/>
        <v>0</v>
      </c>
      <c r="F114">
        <f t="shared" si="6"/>
        <v>1</v>
      </c>
      <c r="G114" t="s">
        <v>28</v>
      </c>
      <c r="H114">
        <v>61426.04</v>
      </c>
      <c r="I114">
        <v>8966</v>
      </c>
      <c r="J114">
        <v>0.17299999999999999</v>
      </c>
      <c r="K114">
        <v>22</v>
      </c>
      <c r="L114">
        <v>76.400000000000006</v>
      </c>
      <c r="M114">
        <v>1.05</v>
      </c>
      <c r="N114">
        <v>0</v>
      </c>
      <c r="O114">
        <v>3.1</v>
      </c>
      <c r="P114">
        <v>778397.97</v>
      </c>
      <c r="Q114">
        <v>120044.41</v>
      </c>
      <c r="U114">
        <v>0</v>
      </c>
      <c r="V114">
        <v>0</v>
      </c>
      <c r="W114">
        <v>1</v>
      </c>
      <c r="X114">
        <v>61426.04</v>
      </c>
      <c r="Y114">
        <v>8966</v>
      </c>
      <c r="Z114">
        <v>76.400000000000006</v>
      </c>
      <c r="AA114">
        <v>3.1</v>
      </c>
      <c r="AB114">
        <f t="shared" si="7"/>
        <v>731293.24348409101</v>
      </c>
    </row>
    <row r="115" spans="1:28">
      <c r="A115" t="s">
        <v>50</v>
      </c>
      <c r="B115" s="2">
        <v>45689</v>
      </c>
      <c r="C115" t="s">
        <v>27</v>
      </c>
      <c r="D115">
        <f t="shared" si="4"/>
        <v>0</v>
      </c>
      <c r="E115">
        <f t="shared" si="5"/>
        <v>0</v>
      </c>
      <c r="F115">
        <f t="shared" si="6"/>
        <v>1</v>
      </c>
      <c r="G115" t="s">
        <v>28</v>
      </c>
      <c r="H115">
        <v>80176.34</v>
      </c>
      <c r="I115">
        <v>9489</v>
      </c>
      <c r="J115">
        <v>0.14199999999999999</v>
      </c>
      <c r="K115">
        <v>22</v>
      </c>
      <c r="L115">
        <v>94.3</v>
      </c>
      <c r="M115">
        <v>2.67</v>
      </c>
      <c r="N115">
        <v>0</v>
      </c>
      <c r="O115">
        <v>3.5</v>
      </c>
      <c r="P115">
        <v>873380.02</v>
      </c>
      <c r="Q115">
        <v>149734.76</v>
      </c>
      <c r="U115">
        <v>0</v>
      </c>
      <c r="V115">
        <v>0</v>
      </c>
      <c r="W115">
        <v>1</v>
      </c>
      <c r="X115">
        <v>80176.34</v>
      </c>
      <c r="Y115">
        <v>9489</v>
      </c>
      <c r="Z115">
        <v>94.3</v>
      </c>
      <c r="AA115">
        <v>3.5</v>
      </c>
      <c r="AB115">
        <f t="shared" si="7"/>
        <v>827692.54346529371</v>
      </c>
    </row>
    <row r="116" spans="1:28">
      <c r="A116" t="s">
        <v>50</v>
      </c>
      <c r="B116" s="2">
        <v>45717</v>
      </c>
      <c r="C116" t="s">
        <v>27</v>
      </c>
      <c r="D116">
        <f t="shared" si="4"/>
        <v>0</v>
      </c>
      <c r="E116">
        <f t="shared" si="5"/>
        <v>0</v>
      </c>
      <c r="F116">
        <f t="shared" si="6"/>
        <v>1</v>
      </c>
      <c r="G116" t="s">
        <v>28</v>
      </c>
      <c r="H116">
        <v>33605.18</v>
      </c>
      <c r="I116">
        <v>9225</v>
      </c>
      <c r="J116">
        <v>0.159</v>
      </c>
      <c r="K116">
        <v>23</v>
      </c>
      <c r="L116">
        <v>88.4</v>
      </c>
      <c r="M116">
        <v>5.91</v>
      </c>
      <c r="N116">
        <v>0</v>
      </c>
      <c r="O116">
        <v>2.8</v>
      </c>
      <c r="P116">
        <v>697287.9</v>
      </c>
      <c r="Q116">
        <v>128208.33</v>
      </c>
      <c r="U116">
        <v>0</v>
      </c>
      <c r="V116">
        <v>0</v>
      </c>
      <c r="W116">
        <v>1</v>
      </c>
      <c r="X116">
        <v>33605.18</v>
      </c>
      <c r="Y116">
        <v>9225</v>
      </c>
      <c r="Z116">
        <v>88.4</v>
      </c>
      <c r="AA116">
        <v>2.8</v>
      </c>
      <c r="AB116">
        <f t="shared" si="7"/>
        <v>737980.20589693764</v>
      </c>
    </row>
    <row r="117" spans="1:28">
      <c r="A117" t="s">
        <v>50</v>
      </c>
      <c r="B117" s="2">
        <v>45748</v>
      </c>
      <c r="C117" t="s">
        <v>27</v>
      </c>
      <c r="D117">
        <f t="shared" si="4"/>
        <v>0</v>
      </c>
      <c r="E117">
        <f t="shared" si="5"/>
        <v>0</v>
      </c>
      <c r="F117">
        <f t="shared" si="6"/>
        <v>1</v>
      </c>
      <c r="G117" t="s">
        <v>28</v>
      </c>
      <c r="H117">
        <v>25990.54</v>
      </c>
      <c r="I117">
        <v>9249</v>
      </c>
      <c r="J117">
        <v>0.13900000000000001</v>
      </c>
      <c r="K117">
        <v>23</v>
      </c>
      <c r="L117">
        <v>92.5</v>
      </c>
      <c r="M117">
        <v>6.37</v>
      </c>
      <c r="N117">
        <v>0</v>
      </c>
      <c r="O117">
        <v>3.3</v>
      </c>
      <c r="P117">
        <v>718074.79</v>
      </c>
      <c r="Q117">
        <v>115819.87</v>
      </c>
      <c r="U117">
        <v>0</v>
      </c>
      <c r="V117">
        <v>0</v>
      </c>
      <c r="W117">
        <v>1</v>
      </c>
      <c r="X117">
        <v>25990.54</v>
      </c>
      <c r="Y117">
        <v>9249</v>
      </c>
      <c r="Z117">
        <v>92.5</v>
      </c>
      <c r="AA117">
        <v>3.3</v>
      </c>
      <c r="AB117">
        <f t="shared" si="7"/>
        <v>746989.05663883302</v>
      </c>
    </row>
    <row r="118" spans="1:28">
      <c r="A118" t="s">
        <v>51</v>
      </c>
      <c r="B118" s="2">
        <v>45658</v>
      </c>
      <c r="C118" t="s">
        <v>27</v>
      </c>
      <c r="D118">
        <f t="shared" si="4"/>
        <v>0</v>
      </c>
      <c r="E118">
        <f t="shared" si="5"/>
        <v>0</v>
      </c>
      <c r="F118">
        <f t="shared" si="6"/>
        <v>1</v>
      </c>
      <c r="G118" t="s">
        <v>16</v>
      </c>
      <c r="H118">
        <v>43685.14</v>
      </c>
      <c r="I118">
        <v>7821</v>
      </c>
      <c r="J118">
        <v>0.19</v>
      </c>
      <c r="K118">
        <v>17</v>
      </c>
      <c r="L118">
        <v>91</v>
      </c>
      <c r="M118">
        <v>2.4900000000000002</v>
      </c>
      <c r="N118">
        <v>1</v>
      </c>
      <c r="O118">
        <v>4.7</v>
      </c>
      <c r="P118">
        <v>714942.43</v>
      </c>
      <c r="Q118">
        <v>94697.71</v>
      </c>
      <c r="U118">
        <v>0</v>
      </c>
      <c r="V118">
        <v>0</v>
      </c>
      <c r="W118">
        <v>1</v>
      </c>
      <c r="X118">
        <v>43685.14</v>
      </c>
      <c r="Y118">
        <v>7821</v>
      </c>
      <c r="Z118">
        <v>91</v>
      </c>
      <c r="AA118">
        <v>4.7</v>
      </c>
      <c r="AB118">
        <f t="shared" si="7"/>
        <v>730838.16945696261</v>
      </c>
    </row>
    <row r="119" spans="1:28">
      <c r="A119" t="s">
        <v>51</v>
      </c>
      <c r="B119" s="2">
        <v>45689</v>
      </c>
      <c r="C119" t="s">
        <v>27</v>
      </c>
      <c r="D119">
        <f t="shared" si="4"/>
        <v>0</v>
      </c>
      <c r="E119">
        <f t="shared" si="5"/>
        <v>0</v>
      </c>
      <c r="F119">
        <f t="shared" si="6"/>
        <v>1</v>
      </c>
      <c r="G119" t="s">
        <v>16</v>
      </c>
      <c r="H119">
        <v>57360.01</v>
      </c>
      <c r="I119">
        <v>8434</v>
      </c>
      <c r="J119">
        <v>0.151</v>
      </c>
      <c r="K119">
        <v>19</v>
      </c>
      <c r="L119">
        <v>84.1</v>
      </c>
      <c r="M119">
        <v>1.56</v>
      </c>
      <c r="N119">
        <v>0</v>
      </c>
      <c r="O119">
        <v>4.7</v>
      </c>
      <c r="P119">
        <v>820519.04</v>
      </c>
      <c r="Q119">
        <v>99035.88</v>
      </c>
      <c r="U119">
        <v>0</v>
      </c>
      <c r="V119">
        <v>0</v>
      </c>
      <c r="W119">
        <v>1</v>
      </c>
      <c r="X119">
        <v>57360.01</v>
      </c>
      <c r="Y119">
        <v>8434</v>
      </c>
      <c r="Z119">
        <v>84.1</v>
      </c>
      <c r="AA119">
        <v>4.7</v>
      </c>
      <c r="AB119">
        <f t="shared" si="7"/>
        <v>748192.98140111368</v>
      </c>
    </row>
    <row r="120" spans="1:28">
      <c r="A120" t="s">
        <v>51</v>
      </c>
      <c r="B120" s="2">
        <v>45717</v>
      </c>
      <c r="C120" t="s">
        <v>27</v>
      </c>
      <c r="D120">
        <f t="shared" si="4"/>
        <v>0</v>
      </c>
      <c r="E120">
        <f t="shared" si="5"/>
        <v>0</v>
      </c>
      <c r="F120">
        <f t="shared" si="6"/>
        <v>1</v>
      </c>
      <c r="G120" t="s">
        <v>16</v>
      </c>
      <c r="H120">
        <v>42415.47</v>
      </c>
      <c r="I120">
        <v>8512</v>
      </c>
      <c r="J120">
        <v>0.13300000000000001</v>
      </c>
      <c r="K120">
        <v>18</v>
      </c>
      <c r="L120">
        <v>96.8</v>
      </c>
      <c r="M120">
        <v>14.95</v>
      </c>
      <c r="N120">
        <v>0</v>
      </c>
      <c r="O120">
        <v>4.5999999999999996</v>
      </c>
      <c r="P120">
        <v>684217.32</v>
      </c>
      <c r="Q120">
        <v>136217.19</v>
      </c>
      <c r="U120">
        <v>0</v>
      </c>
      <c r="V120">
        <v>0</v>
      </c>
      <c r="W120">
        <v>1</v>
      </c>
      <c r="X120">
        <v>42415.47</v>
      </c>
      <c r="Y120">
        <v>8512</v>
      </c>
      <c r="Z120">
        <v>96.8</v>
      </c>
      <c r="AA120">
        <v>4.5999999999999996</v>
      </c>
      <c r="AB120">
        <f t="shared" si="7"/>
        <v>768435.36249088671</v>
      </c>
    </row>
    <row r="121" spans="1:28">
      <c r="A121" t="s">
        <v>51</v>
      </c>
      <c r="B121" s="2">
        <v>45748</v>
      </c>
      <c r="C121" t="s">
        <v>27</v>
      </c>
      <c r="D121">
        <f t="shared" si="4"/>
        <v>0</v>
      </c>
      <c r="E121">
        <f t="shared" si="5"/>
        <v>0</v>
      </c>
      <c r="F121">
        <f t="shared" si="6"/>
        <v>1</v>
      </c>
      <c r="G121" t="s">
        <v>16</v>
      </c>
      <c r="H121">
        <v>54968.98</v>
      </c>
      <c r="I121">
        <v>7816</v>
      </c>
      <c r="J121">
        <v>0.23200000000000001</v>
      </c>
      <c r="K121">
        <v>19</v>
      </c>
      <c r="L121">
        <v>95.7</v>
      </c>
      <c r="M121">
        <v>7.85</v>
      </c>
      <c r="N121">
        <v>0</v>
      </c>
      <c r="O121">
        <v>4.7</v>
      </c>
      <c r="P121">
        <v>735480.19</v>
      </c>
      <c r="Q121">
        <v>88342.11</v>
      </c>
      <c r="U121">
        <v>0</v>
      </c>
      <c r="V121">
        <v>0</v>
      </c>
      <c r="W121">
        <v>1</v>
      </c>
      <c r="X121">
        <v>54968.98</v>
      </c>
      <c r="Y121">
        <v>7816</v>
      </c>
      <c r="Z121">
        <v>95.7</v>
      </c>
      <c r="AA121">
        <v>4.7</v>
      </c>
      <c r="AB121">
        <f t="shared" si="7"/>
        <v>757802.16167535644</v>
      </c>
    </row>
    <row r="122" spans="1:28">
      <c r="A122" t="s">
        <v>52</v>
      </c>
      <c r="B122" s="2">
        <v>45658</v>
      </c>
      <c r="C122" t="s">
        <v>20</v>
      </c>
      <c r="D122">
        <f t="shared" si="4"/>
        <v>1</v>
      </c>
      <c r="E122">
        <f t="shared" si="5"/>
        <v>0</v>
      </c>
      <c r="F122">
        <f t="shared" si="6"/>
        <v>0</v>
      </c>
      <c r="G122" t="s">
        <v>18</v>
      </c>
      <c r="H122">
        <v>43896.13</v>
      </c>
      <c r="I122">
        <v>3853</v>
      </c>
      <c r="J122">
        <v>8.7999999999999995E-2</v>
      </c>
      <c r="K122">
        <v>13</v>
      </c>
      <c r="L122">
        <v>83</v>
      </c>
      <c r="M122">
        <v>6.8</v>
      </c>
      <c r="N122">
        <v>0</v>
      </c>
      <c r="O122">
        <v>4.4000000000000004</v>
      </c>
      <c r="P122">
        <v>509484.81</v>
      </c>
      <c r="Q122">
        <v>85742.36</v>
      </c>
      <c r="U122">
        <v>1</v>
      </c>
      <c r="V122">
        <v>0</v>
      </c>
      <c r="W122">
        <v>0</v>
      </c>
      <c r="X122">
        <v>43896.13</v>
      </c>
      <c r="Y122">
        <v>3853</v>
      </c>
      <c r="Z122">
        <v>83</v>
      </c>
      <c r="AA122">
        <v>4.4000000000000004</v>
      </c>
      <c r="AB122">
        <f t="shared" si="7"/>
        <v>561465.22190352483</v>
      </c>
    </row>
    <row r="123" spans="1:28">
      <c r="A123" t="s">
        <v>52</v>
      </c>
      <c r="B123" s="2">
        <v>45689</v>
      </c>
      <c r="C123" t="s">
        <v>20</v>
      </c>
      <c r="D123">
        <f t="shared" si="4"/>
        <v>1</v>
      </c>
      <c r="E123">
        <f t="shared" si="5"/>
        <v>0</v>
      </c>
      <c r="F123">
        <f t="shared" si="6"/>
        <v>0</v>
      </c>
      <c r="G123" t="s">
        <v>18</v>
      </c>
      <c r="H123">
        <v>83044.17</v>
      </c>
      <c r="I123">
        <v>3694</v>
      </c>
      <c r="J123">
        <v>0</v>
      </c>
      <c r="K123">
        <v>14</v>
      </c>
      <c r="L123">
        <v>89.4</v>
      </c>
      <c r="M123">
        <v>2.2000000000000002</v>
      </c>
      <c r="N123">
        <v>0</v>
      </c>
      <c r="O123">
        <v>3.7</v>
      </c>
      <c r="P123">
        <v>654317.09</v>
      </c>
      <c r="Q123">
        <v>121446.89</v>
      </c>
      <c r="U123">
        <v>1</v>
      </c>
      <c r="V123">
        <v>0</v>
      </c>
      <c r="W123">
        <v>0</v>
      </c>
      <c r="X123">
        <v>83044.17</v>
      </c>
      <c r="Y123">
        <v>3694</v>
      </c>
      <c r="Z123">
        <v>89.4</v>
      </c>
      <c r="AA123">
        <v>3.7</v>
      </c>
      <c r="AB123">
        <f t="shared" si="7"/>
        <v>613885.98005283799</v>
      </c>
    </row>
    <row r="124" spans="1:28">
      <c r="A124" t="s">
        <v>52</v>
      </c>
      <c r="B124" s="2">
        <v>45717</v>
      </c>
      <c r="C124" t="s">
        <v>20</v>
      </c>
      <c r="D124">
        <f t="shared" si="4"/>
        <v>1</v>
      </c>
      <c r="E124">
        <f t="shared" si="5"/>
        <v>0</v>
      </c>
      <c r="F124">
        <f t="shared" si="6"/>
        <v>0</v>
      </c>
      <c r="G124" t="s">
        <v>18</v>
      </c>
      <c r="H124">
        <v>48396.13</v>
      </c>
      <c r="I124">
        <v>4423</v>
      </c>
      <c r="J124">
        <v>6.9000000000000006E-2</v>
      </c>
      <c r="K124">
        <v>15</v>
      </c>
      <c r="L124">
        <v>85.7</v>
      </c>
      <c r="M124">
        <v>1.88</v>
      </c>
      <c r="N124">
        <v>0</v>
      </c>
      <c r="O124">
        <v>3.9</v>
      </c>
      <c r="P124">
        <v>557487.26</v>
      </c>
      <c r="Q124">
        <v>76432.19</v>
      </c>
      <c r="U124">
        <v>1</v>
      </c>
      <c r="V124">
        <v>0</v>
      </c>
      <c r="W124">
        <v>0</v>
      </c>
      <c r="X124">
        <v>48396.13</v>
      </c>
      <c r="Y124">
        <v>4423</v>
      </c>
      <c r="Z124">
        <v>85.7</v>
      </c>
      <c r="AA124">
        <v>3.9</v>
      </c>
      <c r="AB124">
        <f t="shared" si="7"/>
        <v>588528.16675262491</v>
      </c>
    </row>
    <row r="125" spans="1:28">
      <c r="A125" t="s">
        <v>52</v>
      </c>
      <c r="B125" s="2">
        <v>45748</v>
      </c>
      <c r="C125" t="s">
        <v>20</v>
      </c>
      <c r="D125">
        <f t="shared" si="4"/>
        <v>1</v>
      </c>
      <c r="E125">
        <f t="shared" si="5"/>
        <v>0</v>
      </c>
      <c r="F125">
        <f t="shared" si="6"/>
        <v>0</v>
      </c>
      <c r="G125" t="s">
        <v>18</v>
      </c>
      <c r="H125">
        <v>19063.48</v>
      </c>
      <c r="I125">
        <v>1906</v>
      </c>
      <c r="J125">
        <v>0.216</v>
      </c>
      <c r="K125">
        <v>10</v>
      </c>
      <c r="L125">
        <v>97.8</v>
      </c>
      <c r="M125">
        <v>15.79</v>
      </c>
      <c r="N125">
        <v>0</v>
      </c>
      <c r="O125">
        <v>4.4000000000000004</v>
      </c>
      <c r="P125">
        <v>441275.42</v>
      </c>
      <c r="Q125">
        <v>58234.87</v>
      </c>
      <c r="U125">
        <v>1</v>
      </c>
      <c r="V125">
        <v>0</v>
      </c>
      <c r="W125">
        <v>0</v>
      </c>
      <c r="X125">
        <v>19063.48</v>
      </c>
      <c r="Y125">
        <v>1906</v>
      </c>
      <c r="Z125">
        <v>97.8</v>
      </c>
      <c r="AA125">
        <v>4.4000000000000004</v>
      </c>
      <c r="AB125">
        <f t="shared" si="7"/>
        <v>508165.91404908849</v>
      </c>
    </row>
    <row r="126" spans="1:28">
      <c r="A126" t="s">
        <v>53</v>
      </c>
      <c r="B126" s="2">
        <v>45658</v>
      </c>
      <c r="C126" t="s">
        <v>24</v>
      </c>
      <c r="D126">
        <f t="shared" si="4"/>
        <v>0</v>
      </c>
      <c r="E126">
        <f t="shared" si="5"/>
        <v>1</v>
      </c>
      <c r="F126">
        <f t="shared" si="6"/>
        <v>0</v>
      </c>
      <c r="G126" t="s">
        <v>18</v>
      </c>
      <c r="H126">
        <v>61541.21</v>
      </c>
      <c r="I126">
        <v>10396</v>
      </c>
      <c r="J126">
        <v>0.123</v>
      </c>
      <c r="K126">
        <v>25</v>
      </c>
      <c r="L126">
        <v>88.1</v>
      </c>
      <c r="M126">
        <v>2.34</v>
      </c>
      <c r="N126">
        <v>1</v>
      </c>
      <c r="O126">
        <v>4.8</v>
      </c>
      <c r="P126">
        <v>914544.17</v>
      </c>
      <c r="Q126">
        <v>79831.73</v>
      </c>
      <c r="U126">
        <v>0</v>
      </c>
      <c r="V126">
        <v>1</v>
      </c>
      <c r="W126">
        <v>0</v>
      </c>
      <c r="X126">
        <v>61541.21</v>
      </c>
      <c r="Y126">
        <v>10396</v>
      </c>
      <c r="Z126">
        <v>88.1</v>
      </c>
      <c r="AA126">
        <v>4.8</v>
      </c>
      <c r="AB126">
        <f t="shared" si="7"/>
        <v>837476.06270370493</v>
      </c>
    </row>
    <row r="127" spans="1:28">
      <c r="A127" t="s">
        <v>53</v>
      </c>
      <c r="B127" s="2">
        <v>45689</v>
      </c>
      <c r="C127" t="s">
        <v>24</v>
      </c>
      <c r="D127">
        <f t="shared" si="4"/>
        <v>0</v>
      </c>
      <c r="E127">
        <f t="shared" si="5"/>
        <v>1</v>
      </c>
      <c r="F127">
        <f t="shared" si="6"/>
        <v>0</v>
      </c>
      <c r="G127" t="s">
        <v>18</v>
      </c>
      <c r="H127">
        <v>44747</v>
      </c>
      <c r="I127">
        <v>11076</v>
      </c>
      <c r="J127">
        <v>0.17599999999999999</v>
      </c>
      <c r="K127">
        <v>27</v>
      </c>
      <c r="L127">
        <v>98.3</v>
      </c>
      <c r="M127">
        <v>0.54</v>
      </c>
      <c r="N127">
        <v>0</v>
      </c>
      <c r="O127">
        <v>4.4000000000000004</v>
      </c>
      <c r="P127">
        <v>842439.67</v>
      </c>
      <c r="Q127">
        <v>169983.63</v>
      </c>
      <c r="U127">
        <v>0</v>
      </c>
      <c r="V127">
        <v>1</v>
      </c>
      <c r="W127">
        <v>0</v>
      </c>
      <c r="X127">
        <v>44747</v>
      </c>
      <c r="Y127">
        <v>11076</v>
      </c>
      <c r="Z127">
        <v>98.3</v>
      </c>
      <c r="AA127">
        <v>4.4000000000000004</v>
      </c>
      <c r="AB127">
        <f t="shared" si="7"/>
        <v>865428.82332615193</v>
      </c>
    </row>
    <row r="128" spans="1:28">
      <c r="A128" t="s">
        <v>53</v>
      </c>
      <c r="B128" s="2">
        <v>45717</v>
      </c>
      <c r="C128" t="s">
        <v>24</v>
      </c>
      <c r="D128">
        <f t="shared" si="4"/>
        <v>0</v>
      </c>
      <c r="E128">
        <f t="shared" si="5"/>
        <v>1</v>
      </c>
      <c r="F128">
        <f t="shared" si="6"/>
        <v>0</v>
      </c>
      <c r="G128" t="s">
        <v>18</v>
      </c>
      <c r="H128">
        <v>56517.9</v>
      </c>
      <c r="I128">
        <v>9574</v>
      </c>
      <c r="J128">
        <v>0.20399999999999999</v>
      </c>
      <c r="K128">
        <v>20</v>
      </c>
      <c r="L128">
        <v>88.2</v>
      </c>
      <c r="M128">
        <v>5.37</v>
      </c>
      <c r="N128">
        <v>1</v>
      </c>
      <c r="O128">
        <v>4.9000000000000004</v>
      </c>
      <c r="P128">
        <v>842157.92</v>
      </c>
      <c r="Q128">
        <v>107348.22</v>
      </c>
      <c r="U128">
        <v>0</v>
      </c>
      <c r="V128">
        <v>1</v>
      </c>
      <c r="W128">
        <v>0</v>
      </c>
      <c r="X128">
        <v>56517.9</v>
      </c>
      <c r="Y128">
        <v>9574</v>
      </c>
      <c r="Z128">
        <v>88.2</v>
      </c>
      <c r="AA128">
        <v>4.9000000000000004</v>
      </c>
      <c r="AB128">
        <f t="shared" si="7"/>
        <v>804892.78448465047</v>
      </c>
    </row>
    <row r="129" spans="1:28">
      <c r="A129" t="s">
        <v>53</v>
      </c>
      <c r="B129" s="2">
        <v>45748</v>
      </c>
      <c r="C129" t="s">
        <v>24</v>
      </c>
      <c r="D129">
        <f t="shared" si="4"/>
        <v>0</v>
      </c>
      <c r="E129">
        <f t="shared" si="5"/>
        <v>1</v>
      </c>
      <c r="F129">
        <f t="shared" si="6"/>
        <v>0</v>
      </c>
      <c r="G129" t="s">
        <v>18</v>
      </c>
      <c r="H129">
        <v>37828.5</v>
      </c>
      <c r="I129">
        <v>8221</v>
      </c>
      <c r="J129">
        <v>9.6000000000000002E-2</v>
      </c>
      <c r="K129">
        <v>19</v>
      </c>
      <c r="L129">
        <v>81.5</v>
      </c>
      <c r="M129">
        <v>3.19</v>
      </c>
      <c r="N129">
        <v>0</v>
      </c>
      <c r="O129">
        <v>4.8</v>
      </c>
      <c r="P129">
        <v>697155.3</v>
      </c>
      <c r="Q129">
        <v>136408.54</v>
      </c>
      <c r="U129">
        <v>0</v>
      </c>
      <c r="V129">
        <v>1</v>
      </c>
      <c r="W129">
        <v>0</v>
      </c>
      <c r="X129">
        <v>37828.5</v>
      </c>
      <c r="Y129">
        <v>8221</v>
      </c>
      <c r="Z129">
        <v>81.5</v>
      </c>
      <c r="AA129">
        <v>4.8</v>
      </c>
      <c r="AB129">
        <f t="shared" si="7"/>
        <v>715998.69582514593</v>
      </c>
    </row>
    <row r="130" spans="1:28">
      <c r="A130" t="s">
        <v>54</v>
      </c>
      <c r="B130" s="2">
        <v>45658</v>
      </c>
      <c r="C130" t="s">
        <v>15</v>
      </c>
      <c r="D130">
        <f t="shared" si="4"/>
        <v>0</v>
      </c>
      <c r="E130">
        <f t="shared" si="5"/>
        <v>0</v>
      </c>
      <c r="F130">
        <f t="shared" si="6"/>
        <v>0</v>
      </c>
      <c r="G130" t="s">
        <v>18</v>
      </c>
      <c r="H130">
        <v>66250.53</v>
      </c>
      <c r="I130">
        <v>10618</v>
      </c>
      <c r="J130">
        <v>0.14199999999999999</v>
      </c>
      <c r="K130">
        <v>27</v>
      </c>
      <c r="L130">
        <v>88.3</v>
      </c>
      <c r="M130">
        <v>1.1000000000000001</v>
      </c>
      <c r="N130">
        <v>1</v>
      </c>
      <c r="O130">
        <v>4.4000000000000004</v>
      </c>
      <c r="P130">
        <v>849018.3</v>
      </c>
      <c r="Q130">
        <v>149035.13</v>
      </c>
      <c r="U130">
        <v>0</v>
      </c>
      <c r="V130">
        <v>0</v>
      </c>
      <c r="W130">
        <v>0</v>
      </c>
      <c r="X130">
        <v>66250.53</v>
      </c>
      <c r="Y130">
        <v>10618</v>
      </c>
      <c r="Z130">
        <v>88.3</v>
      </c>
      <c r="AA130">
        <v>4.4000000000000004</v>
      </c>
      <c r="AB130">
        <f t="shared" si="7"/>
        <v>824877.38839442923</v>
      </c>
    </row>
    <row r="131" spans="1:28">
      <c r="A131" t="s">
        <v>54</v>
      </c>
      <c r="B131" s="2">
        <v>45689</v>
      </c>
      <c r="C131" t="s">
        <v>15</v>
      </c>
      <c r="D131">
        <f t="shared" ref="D131:D194" si="8">IF(C131="North",1,0)</f>
        <v>0</v>
      </c>
      <c r="E131">
        <f t="shared" ref="E131:E194" si="9">IF(C131="South",1,0)</f>
        <v>0</v>
      </c>
      <c r="F131">
        <f t="shared" ref="F131:F194" si="10">IF(C131="West",1,0)</f>
        <v>0</v>
      </c>
      <c r="G131" t="s">
        <v>18</v>
      </c>
      <c r="H131">
        <v>68410.929999999993</v>
      </c>
      <c r="I131">
        <v>10596</v>
      </c>
      <c r="J131">
        <v>0.20699999999999999</v>
      </c>
      <c r="K131">
        <v>25</v>
      </c>
      <c r="L131">
        <v>81.2</v>
      </c>
      <c r="M131">
        <v>0.21</v>
      </c>
      <c r="N131">
        <v>0</v>
      </c>
      <c r="O131">
        <v>4</v>
      </c>
      <c r="P131">
        <v>801830.35</v>
      </c>
      <c r="Q131">
        <v>114875.32</v>
      </c>
      <c r="U131">
        <v>0</v>
      </c>
      <c r="V131">
        <v>0</v>
      </c>
      <c r="W131">
        <v>0</v>
      </c>
      <c r="X131">
        <v>68410.929999999993</v>
      </c>
      <c r="Y131">
        <v>10596</v>
      </c>
      <c r="Z131">
        <v>81.2</v>
      </c>
      <c r="AA131">
        <v>4</v>
      </c>
      <c r="AB131">
        <f t="shared" ref="AB131:AB194" si="11">80972.67194
+(8667.122801*U131)
+(21972.42005*V131)
+(17042.83335*W131)
+(1.202273376*X131)
+(33.98425653*Y131)
+(2886.7347*Z131)
+(11024.99051*AA131)</f>
        <v>801821.31357827969</v>
      </c>
    </row>
    <row r="132" spans="1:28">
      <c r="A132" t="s">
        <v>54</v>
      </c>
      <c r="B132" s="2">
        <v>45717</v>
      </c>
      <c r="C132" t="s">
        <v>15</v>
      </c>
      <c r="D132">
        <f t="shared" si="8"/>
        <v>0</v>
      </c>
      <c r="E132">
        <f t="shared" si="9"/>
        <v>0</v>
      </c>
      <c r="F132">
        <f t="shared" si="10"/>
        <v>0</v>
      </c>
      <c r="G132" t="s">
        <v>18</v>
      </c>
      <c r="H132">
        <v>50735.63</v>
      </c>
      <c r="I132">
        <v>9619</v>
      </c>
      <c r="J132">
        <v>0.14399999999999999</v>
      </c>
      <c r="K132">
        <v>19</v>
      </c>
      <c r="L132">
        <v>93.8</v>
      </c>
      <c r="M132">
        <v>5.12</v>
      </c>
      <c r="N132">
        <v>1</v>
      </c>
      <c r="O132">
        <v>4.5</v>
      </c>
      <c r="P132">
        <v>725235.28</v>
      </c>
      <c r="Q132">
        <v>121632.24</v>
      </c>
      <c r="U132">
        <v>0</v>
      </c>
      <c r="V132">
        <v>0</v>
      </c>
      <c r="W132">
        <v>0</v>
      </c>
      <c r="X132">
        <v>50735.63</v>
      </c>
      <c r="Y132">
        <v>9619</v>
      </c>
      <c r="Z132">
        <v>93.8</v>
      </c>
      <c r="AA132">
        <v>4.5</v>
      </c>
      <c r="AB132">
        <f t="shared" si="11"/>
        <v>789253.50482065685</v>
      </c>
    </row>
    <row r="133" spans="1:28">
      <c r="A133" t="s">
        <v>54</v>
      </c>
      <c r="B133" s="2">
        <v>45748</v>
      </c>
      <c r="C133" t="s">
        <v>15</v>
      </c>
      <c r="D133">
        <f t="shared" si="8"/>
        <v>0</v>
      </c>
      <c r="E133">
        <f t="shared" si="9"/>
        <v>0</v>
      </c>
      <c r="F133">
        <f t="shared" si="10"/>
        <v>0</v>
      </c>
      <c r="G133" t="s">
        <v>18</v>
      </c>
      <c r="H133">
        <v>66455.8</v>
      </c>
      <c r="I133">
        <v>10836</v>
      </c>
      <c r="J133">
        <v>8.8999999999999996E-2</v>
      </c>
      <c r="K133">
        <v>25</v>
      </c>
      <c r="L133">
        <v>85</v>
      </c>
      <c r="M133">
        <v>9.77</v>
      </c>
      <c r="N133">
        <v>0</v>
      </c>
      <c r="O133">
        <v>4.5</v>
      </c>
      <c r="P133">
        <v>811452.72</v>
      </c>
      <c r="Q133">
        <v>131325.67000000001</v>
      </c>
      <c r="U133">
        <v>0</v>
      </c>
      <c r="V133">
        <v>0</v>
      </c>
      <c r="W133">
        <v>0</v>
      </c>
      <c r="X133">
        <v>66455.8</v>
      </c>
      <c r="Y133">
        <v>10836</v>
      </c>
      <c r="Z133">
        <v>85</v>
      </c>
      <c r="AA133">
        <v>4.5</v>
      </c>
      <c r="AB133">
        <f t="shared" si="11"/>
        <v>824109.0215148608</v>
      </c>
    </row>
    <row r="134" spans="1:28">
      <c r="A134" t="s">
        <v>55</v>
      </c>
      <c r="B134" s="2">
        <v>45658</v>
      </c>
      <c r="C134" t="s">
        <v>20</v>
      </c>
      <c r="D134">
        <f t="shared" si="8"/>
        <v>1</v>
      </c>
      <c r="E134">
        <f t="shared" si="9"/>
        <v>0</v>
      </c>
      <c r="F134">
        <f t="shared" si="10"/>
        <v>0</v>
      </c>
      <c r="G134" t="s">
        <v>18</v>
      </c>
      <c r="H134">
        <v>70276.28</v>
      </c>
      <c r="I134">
        <v>3043</v>
      </c>
      <c r="J134">
        <v>7.9000000000000001E-2</v>
      </c>
      <c r="K134">
        <v>9</v>
      </c>
      <c r="L134">
        <v>87.9</v>
      </c>
      <c r="M134">
        <v>3.77</v>
      </c>
      <c r="N134">
        <v>0</v>
      </c>
      <c r="O134">
        <v>4.4000000000000004</v>
      </c>
      <c r="P134">
        <v>527300.13</v>
      </c>
      <c r="Q134">
        <v>84197.87</v>
      </c>
      <c r="U134">
        <v>1</v>
      </c>
      <c r="V134">
        <v>0</v>
      </c>
      <c r="W134">
        <v>0</v>
      </c>
      <c r="X134">
        <v>70276.28</v>
      </c>
      <c r="Y134">
        <v>3043</v>
      </c>
      <c r="Z134">
        <v>87.9</v>
      </c>
      <c r="AA134">
        <v>4.4000000000000004</v>
      </c>
      <c r="AB134">
        <f t="shared" si="11"/>
        <v>579799.12614411127</v>
      </c>
    </row>
    <row r="135" spans="1:28">
      <c r="A135" t="s">
        <v>55</v>
      </c>
      <c r="B135" s="2">
        <v>45689</v>
      </c>
      <c r="C135" t="s">
        <v>20</v>
      </c>
      <c r="D135">
        <f t="shared" si="8"/>
        <v>1</v>
      </c>
      <c r="E135">
        <f t="shared" si="9"/>
        <v>0</v>
      </c>
      <c r="F135">
        <f t="shared" si="10"/>
        <v>0</v>
      </c>
      <c r="G135" t="s">
        <v>18</v>
      </c>
      <c r="H135">
        <v>22071.64</v>
      </c>
      <c r="I135">
        <v>1814</v>
      </c>
      <c r="J135">
        <v>0.19600000000000001</v>
      </c>
      <c r="K135">
        <v>8</v>
      </c>
      <c r="L135">
        <v>81.099999999999994</v>
      </c>
      <c r="M135">
        <v>0.78</v>
      </c>
      <c r="N135">
        <v>0</v>
      </c>
      <c r="O135">
        <v>3.92</v>
      </c>
      <c r="P135">
        <v>400831.65</v>
      </c>
      <c r="Q135">
        <v>70979.31</v>
      </c>
      <c r="U135">
        <v>1</v>
      </c>
      <c r="V135">
        <v>0</v>
      </c>
      <c r="W135">
        <v>0</v>
      </c>
      <c r="X135">
        <v>22071.64</v>
      </c>
      <c r="Y135">
        <v>1814</v>
      </c>
      <c r="Z135">
        <v>81.099999999999994</v>
      </c>
      <c r="AA135">
        <v>3.92</v>
      </c>
      <c r="AB135">
        <f t="shared" si="11"/>
        <v>455155.5281922766</v>
      </c>
    </row>
    <row r="136" spans="1:28">
      <c r="A136" t="s">
        <v>55</v>
      </c>
      <c r="B136" s="2">
        <v>45717</v>
      </c>
      <c r="C136" t="s">
        <v>20</v>
      </c>
      <c r="D136">
        <f t="shared" si="8"/>
        <v>1</v>
      </c>
      <c r="E136">
        <f t="shared" si="9"/>
        <v>0</v>
      </c>
      <c r="F136">
        <f t="shared" si="10"/>
        <v>0</v>
      </c>
      <c r="G136" t="s">
        <v>18</v>
      </c>
      <c r="H136">
        <v>52285.45</v>
      </c>
      <c r="I136">
        <v>3618</v>
      </c>
      <c r="J136">
        <v>8.5999999999999993E-2</v>
      </c>
      <c r="K136">
        <v>11</v>
      </c>
      <c r="L136">
        <v>95.6</v>
      </c>
      <c r="M136">
        <v>5.17</v>
      </c>
      <c r="N136">
        <v>1</v>
      </c>
      <c r="O136">
        <v>4.4000000000000004</v>
      </c>
      <c r="P136">
        <v>593247.25</v>
      </c>
      <c r="Q136">
        <v>81240.289999999994</v>
      </c>
      <c r="U136">
        <v>1</v>
      </c>
      <c r="V136">
        <v>0</v>
      </c>
      <c r="W136">
        <v>0</v>
      </c>
      <c r="X136">
        <v>52285.45</v>
      </c>
      <c r="Y136">
        <v>3618</v>
      </c>
      <c r="Z136">
        <v>95.6</v>
      </c>
      <c r="AA136">
        <v>4.4000000000000004</v>
      </c>
      <c r="AB136">
        <f t="shared" si="11"/>
        <v>599938.0349177192</v>
      </c>
    </row>
    <row r="137" spans="1:28">
      <c r="A137" t="s">
        <v>55</v>
      </c>
      <c r="B137" s="2">
        <v>45748</v>
      </c>
      <c r="C137" t="s">
        <v>20</v>
      </c>
      <c r="D137">
        <f t="shared" si="8"/>
        <v>1</v>
      </c>
      <c r="E137">
        <f t="shared" si="9"/>
        <v>0</v>
      </c>
      <c r="F137">
        <f t="shared" si="10"/>
        <v>0</v>
      </c>
      <c r="G137" t="s">
        <v>18</v>
      </c>
      <c r="H137">
        <v>70366.759999999995</v>
      </c>
      <c r="I137">
        <v>1963</v>
      </c>
      <c r="J137">
        <v>0.182</v>
      </c>
      <c r="K137">
        <v>8</v>
      </c>
      <c r="L137">
        <v>89.8</v>
      </c>
      <c r="M137">
        <v>3.2</v>
      </c>
      <c r="N137">
        <v>0</v>
      </c>
      <c r="O137">
        <v>4.5999999999999996</v>
      </c>
      <c r="P137">
        <v>529075.94999999995</v>
      </c>
      <c r="Q137">
        <v>95978.83</v>
      </c>
      <c r="U137">
        <v>1</v>
      </c>
      <c r="V137">
        <v>0</v>
      </c>
      <c r="W137">
        <v>0</v>
      </c>
      <c r="X137">
        <v>70366.759999999995</v>
      </c>
      <c r="Y137">
        <v>1963</v>
      </c>
      <c r="Z137">
        <v>89.8</v>
      </c>
      <c r="AA137">
        <v>4.5999999999999996</v>
      </c>
      <c r="AB137">
        <f t="shared" si="11"/>
        <v>550894.70481877169</v>
      </c>
    </row>
    <row r="138" spans="1:28">
      <c r="A138" t="s">
        <v>56</v>
      </c>
      <c r="B138" s="2">
        <v>45658</v>
      </c>
      <c r="C138" t="s">
        <v>24</v>
      </c>
      <c r="D138">
        <f t="shared" si="8"/>
        <v>0</v>
      </c>
      <c r="E138">
        <f t="shared" si="9"/>
        <v>1</v>
      </c>
      <c r="F138">
        <f t="shared" si="10"/>
        <v>0</v>
      </c>
      <c r="G138" t="s">
        <v>16</v>
      </c>
      <c r="H138">
        <v>71320.66</v>
      </c>
      <c r="I138">
        <v>7888</v>
      </c>
      <c r="J138">
        <v>4.8000000000000001E-2</v>
      </c>
      <c r="K138">
        <v>20</v>
      </c>
      <c r="L138">
        <v>78.099999999999994</v>
      </c>
      <c r="M138">
        <v>3.4</v>
      </c>
      <c r="N138">
        <v>0</v>
      </c>
      <c r="O138">
        <v>3.92</v>
      </c>
      <c r="P138">
        <v>633638.03</v>
      </c>
      <c r="Q138">
        <v>99402.01</v>
      </c>
      <c r="U138">
        <v>0</v>
      </c>
      <c r="V138">
        <v>1</v>
      </c>
      <c r="W138">
        <v>0</v>
      </c>
      <c r="X138">
        <v>71320.66</v>
      </c>
      <c r="Y138">
        <v>7888</v>
      </c>
      <c r="Z138">
        <v>78.099999999999994</v>
      </c>
      <c r="AA138">
        <v>3.92</v>
      </c>
      <c r="AB138">
        <f t="shared" si="11"/>
        <v>725431.78104458808</v>
      </c>
    </row>
    <row r="139" spans="1:28">
      <c r="A139" t="s">
        <v>56</v>
      </c>
      <c r="B139" s="2">
        <v>45689</v>
      </c>
      <c r="C139" t="s">
        <v>24</v>
      </c>
      <c r="D139">
        <f t="shared" si="8"/>
        <v>0</v>
      </c>
      <c r="E139">
        <f t="shared" si="9"/>
        <v>1</v>
      </c>
      <c r="F139">
        <f t="shared" si="10"/>
        <v>0</v>
      </c>
      <c r="G139" t="s">
        <v>16</v>
      </c>
      <c r="H139">
        <v>75109.67</v>
      </c>
      <c r="I139">
        <v>6244</v>
      </c>
      <c r="J139">
        <v>7.9000000000000001E-2</v>
      </c>
      <c r="K139">
        <v>15</v>
      </c>
      <c r="L139">
        <v>96.3</v>
      </c>
      <c r="M139">
        <v>7.38</v>
      </c>
      <c r="N139">
        <v>0</v>
      </c>
      <c r="O139">
        <v>3.7</v>
      </c>
      <c r="P139">
        <v>743348.84</v>
      </c>
      <c r="Q139">
        <v>104186.09</v>
      </c>
      <c r="U139">
        <v>0</v>
      </c>
      <c r="V139">
        <v>1</v>
      </c>
      <c r="W139">
        <v>0</v>
      </c>
      <c r="X139">
        <v>75109.67</v>
      </c>
      <c r="Y139">
        <v>6244</v>
      </c>
      <c r="Z139">
        <v>96.3</v>
      </c>
      <c r="AA139">
        <v>3.7</v>
      </c>
      <c r="AB139">
        <f t="shared" si="11"/>
        <v>724230.16278146592</v>
      </c>
    </row>
    <row r="140" spans="1:28">
      <c r="A140" t="s">
        <v>56</v>
      </c>
      <c r="B140" s="2">
        <v>45717</v>
      </c>
      <c r="C140" t="s">
        <v>24</v>
      </c>
      <c r="D140">
        <f t="shared" si="8"/>
        <v>0</v>
      </c>
      <c r="E140">
        <f t="shared" si="9"/>
        <v>1</v>
      </c>
      <c r="F140">
        <f t="shared" si="10"/>
        <v>0</v>
      </c>
      <c r="G140" t="s">
        <v>16</v>
      </c>
      <c r="H140">
        <v>69779</v>
      </c>
      <c r="I140">
        <v>6544</v>
      </c>
      <c r="J140">
        <v>0.152</v>
      </c>
      <c r="K140">
        <v>18</v>
      </c>
      <c r="L140">
        <v>90.2</v>
      </c>
      <c r="M140">
        <v>0.85</v>
      </c>
      <c r="N140">
        <v>1</v>
      </c>
      <c r="O140">
        <v>3.3</v>
      </c>
      <c r="P140">
        <v>758827.64</v>
      </c>
      <c r="Q140">
        <v>161439.48000000001</v>
      </c>
      <c r="U140">
        <v>0</v>
      </c>
      <c r="V140">
        <v>1</v>
      </c>
      <c r="W140">
        <v>0</v>
      </c>
      <c r="X140">
        <v>69779</v>
      </c>
      <c r="Y140">
        <v>6544</v>
      </c>
      <c r="Z140">
        <v>90.2</v>
      </c>
      <c r="AA140">
        <v>3.3</v>
      </c>
      <c r="AB140">
        <f t="shared" si="11"/>
        <v>705997.43924922391</v>
      </c>
    </row>
    <row r="141" spans="1:28">
      <c r="A141" t="s">
        <v>56</v>
      </c>
      <c r="B141" s="2">
        <v>45748</v>
      </c>
      <c r="C141" t="s">
        <v>24</v>
      </c>
      <c r="D141">
        <f t="shared" si="8"/>
        <v>0</v>
      </c>
      <c r="E141">
        <f t="shared" si="9"/>
        <v>1</v>
      </c>
      <c r="F141">
        <f t="shared" si="10"/>
        <v>0</v>
      </c>
      <c r="G141" t="s">
        <v>16</v>
      </c>
      <c r="H141">
        <v>44211.95</v>
      </c>
      <c r="I141">
        <v>5465</v>
      </c>
      <c r="J141">
        <v>0.187</v>
      </c>
      <c r="K141">
        <v>12</v>
      </c>
      <c r="L141">
        <v>90</v>
      </c>
      <c r="M141">
        <v>2.89</v>
      </c>
      <c r="N141">
        <v>0</v>
      </c>
      <c r="O141">
        <v>3.6</v>
      </c>
      <c r="P141">
        <v>646559.71</v>
      </c>
      <c r="Q141">
        <v>97981.75</v>
      </c>
      <c r="U141">
        <v>0</v>
      </c>
      <c r="V141">
        <v>1</v>
      </c>
      <c r="W141">
        <v>0</v>
      </c>
      <c r="X141">
        <v>44211.95</v>
      </c>
      <c r="Y141">
        <v>5465</v>
      </c>
      <c r="Z141">
        <v>90</v>
      </c>
      <c r="AA141">
        <v>3.6</v>
      </c>
      <c r="AB141">
        <f t="shared" si="11"/>
        <v>641319.99314849323</v>
      </c>
    </row>
    <row r="142" spans="1:28">
      <c r="A142" t="s">
        <v>57</v>
      </c>
      <c r="B142" s="2">
        <v>45658</v>
      </c>
      <c r="C142" t="s">
        <v>27</v>
      </c>
      <c r="D142">
        <f t="shared" si="8"/>
        <v>0</v>
      </c>
      <c r="E142">
        <f t="shared" si="9"/>
        <v>0</v>
      </c>
      <c r="F142">
        <f t="shared" si="10"/>
        <v>1</v>
      </c>
      <c r="G142" t="s">
        <v>18</v>
      </c>
      <c r="H142">
        <v>51430.31</v>
      </c>
      <c r="I142">
        <v>6427</v>
      </c>
      <c r="J142">
        <v>0.23400000000000001</v>
      </c>
      <c r="K142">
        <v>14</v>
      </c>
      <c r="L142">
        <v>88.8</v>
      </c>
      <c r="M142">
        <v>0.77</v>
      </c>
      <c r="N142">
        <v>0</v>
      </c>
      <c r="O142">
        <v>4.0999999999999996</v>
      </c>
      <c r="P142">
        <v>715890.53</v>
      </c>
      <c r="Q142">
        <v>109032.15</v>
      </c>
      <c r="U142">
        <v>0</v>
      </c>
      <c r="V142">
        <v>0</v>
      </c>
      <c r="W142">
        <v>1</v>
      </c>
      <c r="X142">
        <v>51430.31</v>
      </c>
      <c r="Y142">
        <v>6427</v>
      </c>
      <c r="Z142">
        <v>88.8</v>
      </c>
      <c r="AA142">
        <v>4.0999999999999996</v>
      </c>
      <c r="AB142">
        <f t="shared" si="11"/>
        <v>679810.11689173663</v>
      </c>
    </row>
    <row r="143" spans="1:28">
      <c r="A143" t="s">
        <v>57</v>
      </c>
      <c r="B143" s="2">
        <v>45689</v>
      </c>
      <c r="C143" t="s">
        <v>27</v>
      </c>
      <c r="D143">
        <f t="shared" si="8"/>
        <v>0</v>
      </c>
      <c r="E143">
        <f t="shared" si="9"/>
        <v>0</v>
      </c>
      <c r="F143">
        <f t="shared" si="10"/>
        <v>1</v>
      </c>
      <c r="G143" t="s">
        <v>18</v>
      </c>
      <c r="H143">
        <v>45706.49</v>
      </c>
      <c r="I143">
        <v>6704</v>
      </c>
      <c r="J143">
        <v>3.7999999999999999E-2</v>
      </c>
      <c r="K143">
        <v>15</v>
      </c>
      <c r="L143">
        <v>94.2</v>
      </c>
      <c r="M143">
        <v>2.92</v>
      </c>
      <c r="N143">
        <v>0</v>
      </c>
      <c r="O143">
        <v>4.2</v>
      </c>
      <c r="P143">
        <v>715097.57</v>
      </c>
      <c r="Q143">
        <v>151875.85999999999</v>
      </c>
      <c r="U143">
        <v>0</v>
      </c>
      <c r="V143">
        <v>0</v>
      </c>
      <c r="W143">
        <v>1</v>
      </c>
      <c r="X143">
        <v>45706.49</v>
      </c>
      <c r="Y143">
        <v>6704</v>
      </c>
      <c r="Z143">
        <v>94.2</v>
      </c>
      <c r="AA143">
        <v>4.2</v>
      </c>
      <c r="AB143">
        <f t="shared" si="11"/>
        <v>699033.02598653024</v>
      </c>
    </row>
    <row r="144" spans="1:28">
      <c r="A144" t="s">
        <v>57</v>
      </c>
      <c r="B144" s="2">
        <v>45717</v>
      </c>
      <c r="C144" t="s">
        <v>27</v>
      </c>
      <c r="D144">
        <f t="shared" si="8"/>
        <v>0</v>
      </c>
      <c r="E144">
        <f t="shared" si="9"/>
        <v>0</v>
      </c>
      <c r="F144">
        <f t="shared" si="10"/>
        <v>1</v>
      </c>
      <c r="G144" t="s">
        <v>18</v>
      </c>
      <c r="H144">
        <v>44034.6</v>
      </c>
      <c r="I144">
        <v>5645</v>
      </c>
      <c r="J144">
        <v>6.9000000000000006E-2</v>
      </c>
      <c r="K144">
        <v>18</v>
      </c>
      <c r="L144">
        <v>88.5</v>
      </c>
      <c r="M144">
        <v>3.07</v>
      </c>
      <c r="N144">
        <v>0</v>
      </c>
      <c r="O144">
        <v>3.8</v>
      </c>
      <c r="P144">
        <v>682639.28</v>
      </c>
      <c r="Q144">
        <v>77557.53</v>
      </c>
      <c r="U144">
        <v>0</v>
      </c>
      <c r="V144">
        <v>0</v>
      </c>
      <c r="W144">
        <v>1</v>
      </c>
      <c r="X144">
        <v>44034.6</v>
      </c>
      <c r="Y144">
        <v>5645</v>
      </c>
      <c r="Z144">
        <v>88.5</v>
      </c>
      <c r="AA144">
        <v>3.8</v>
      </c>
      <c r="AB144">
        <f t="shared" si="11"/>
        <v>640169.24549265963</v>
      </c>
    </row>
    <row r="145" spans="1:28">
      <c r="A145" t="s">
        <v>57</v>
      </c>
      <c r="B145" s="2">
        <v>45748</v>
      </c>
      <c r="C145" t="s">
        <v>27</v>
      </c>
      <c r="D145">
        <f t="shared" si="8"/>
        <v>0</v>
      </c>
      <c r="E145">
        <f t="shared" si="9"/>
        <v>0</v>
      </c>
      <c r="F145">
        <f t="shared" si="10"/>
        <v>1</v>
      </c>
      <c r="G145" t="s">
        <v>18</v>
      </c>
      <c r="H145">
        <v>50198.12</v>
      </c>
      <c r="I145">
        <v>6089</v>
      </c>
      <c r="J145">
        <v>0.182</v>
      </c>
      <c r="K145">
        <v>19</v>
      </c>
      <c r="L145">
        <v>94</v>
      </c>
      <c r="M145">
        <v>9.6999999999999993</v>
      </c>
      <c r="N145">
        <v>0</v>
      </c>
      <c r="O145">
        <v>3.9</v>
      </c>
      <c r="P145">
        <v>695098.51</v>
      </c>
      <c r="Q145">
        <v>108192.75</v>
      </c>
      <c r="U145">
        <v>0</v>
      </c>
      <c r="V145">
        <v>0</v>
      </c>
      <c r="W145">
        <v>1</v>
      </c>
      <c r="X145">
        <v>50198.12</v>
      </c>
      <c r="Y145">
        <v>6089</v>
      </c>
      <c r="Z145">
        <v>94</v>
      </c>
      <c r="AA145">
        <v>3.9</v>
      </c>
      <c r="AB145">
        <f t="shared" si="11"/>
        <v>679648.03129142325</v>
      </c>
    </row>
    <row r="146" spans="1:28">
      <c r="A146" t="s">
        <v>58</v>
      </c>
      <c r="B146" s="2">
        <v>45658</v>
      </c>
      <c r="C146" t="s">
        <v>20</v>
      </c>
      <c r="D146">
        <f t="shared" si="8"/>
        <v>1</v>
      </c>
      <c r="E146">
        <f t="shared" si="9"/>
        <v>0</v>
      </c>
      <c r="F146">
        <f t="shared" si="10"/>
        <v>0</v>
      </c>
      <c r="G146" t="s">
        <v>16</v>
      </c>
      <c r="H146">
        <v>70488.2</v>
      </c>
      <c r="I146">
        <v>4312</v>
      </c>
      <c r="J146">
        <v>0.16900000000000001</v>
      </c>
      <c r="K146">
        <v>12</v>
      </c>
      <c r="L146">
        <v>90.2</v>
      </c>
      <c r="M146">
        <v>3.71</v>
      </c>
      <c r="N146">
        <v>0</v>
      </c>
      <c r="O146">
        <v>3.2</v>
      </c>
      <c r="P146">
        <v>577732.56999999995</v>
      </c>
      <c r="Q146">
        <v>93804.27</v>
      </c>
      <c r="U146">
        <v>1</v>
      </c>
      <c r="V146">
        <v>0</v>
      </c>
      <c r="W146">
        <v>0</v>
      </c>
      <c r="X146">
        <v>70488.2</v>
      </c>
      <c r="Y146">
        <v>4312</v>
      </c>
      <c r="Z146">
        <v>90.2</v>
      </c>
      <c r="AA146">
        <v>3.2</v>
      </c>
      <c r="AB146">
        <f t="shared" si="11"/>
        <v>616589.43465252314</v>
      </c>
    </row>
    <row r="147" spans="1:28">
      <c r="A147" t="s">
        <v>58</v>
      </c>
      <c r="B147" s="2">
        <v>45689</v>
      </c>
      <c r="C147" t="s">
        <v>20</v>
      </c>
      <c r="D147">
        <f t="shared" si="8"/>
        <v>1</v>
      </c>
      <c r="E147">
        <f t="shared" si="9"/>
        <v>0</v>
      </c>
      <c r="F147">
        <f t="shared" si="10"/>
        <v>0</v>
      </c>
      <c r="G147" t="s">
        <v>16</v>
      </c>
      <c r="H147">
        <v>50909.27</v>
      </c>
      <c r="I147">
        <v>3152</v>
      </c>
      <c r="J147">
        <v>0.06</v>
      </c>
      <c r="K147">
        <v>13</v>
      </c>
      <c r="L147">
        <v>93.7</v>
      </c>
      <c r="M147">
        <v>10.79</v>
      </c>
      <c r="N147">
        <v>0</v>
      </c>
      <c r="O147">
        <v>3.5</v>
      </c>
      <c r="P147">
        <v>537058.32999999996</v>
      </c>
      <c r="Q147">
        <v>93555.71</v>
      </c>
      <c r="U147">
        <v>1</v>
      </c>
      <c r="V147">
        <v>0</v>
      </c>
      <c r="W147">
        <v>0</v>
      </c>
      <c r="X147">
        <v>50909.27</v>
      </c>
      <c r="Y147">
        <v>3152</v>
      </c>
      <c r="Z147">
        <v>93.7</v>
      </c>
      <c r="AA147">
        <v>3.5</v>
      </c>
      <c r="AB147">
        <f t="shared" si="11"/>
        <v>567039.53941115551</v>
      </c>
    </row>
    <row r="148" spans="1:28">
      <c r="A148" t="s">
        <v>58</v>
      </c>
      <c r="B148" s="2">
        <v>45717</v>
      </c>
      <c r="C148" t="s">
        <v>20</v>
      </c>
      <c r="D148">
        <f t="shared" si="8"/>
        <v>1</v>
      </c>
      <c r="E148">
        <f t="shared" si="9"/>
        <v>0</v>
      </c>
      <c r="F148">
        <f t="shared" si="10"/>
        <v>0</v>
      </c>
      <c r="G148" t="s">
        <v>16</v>
      </c>
      <c r="H148">
        <v>53351.7</v>
      </c>
      <c r="I148">
        <v>4259</v>
      </c>
      <c r="J148">
        <v>0.156</v>
      </c>
      <c r="K148">
        <v>15</v>
      </c>
      <c r="L148">
        <v>93.7</v>
      </c>
      <c r="M148">
        <v>6.03</v>
      </c>
      <c r="N148">
        <v>0</v>
      </c>
      <c r="O148">
        <v>3.4</v>
      </c>
      <c r="P148">
        <v>601568.87</v>
      </c>
      <c r="Q148">
        <v>91634.82</v>
      </c>
      <c r="U148">
        <v>1</v>
      </c>
      <c r="V148">
        <v>0</v>
      </c>
      <c r="W148">
        <v>0</v>
      </c>
      <c r="X148">
        <v>53351.7</v>
      </c>
      <c r="Y148">
        <v>4259</v>
      </c>
      <c r="Z148">
        <v>93.7</v>
      </c>
      <c r="AA148">
        <v>3.4</v>
      </c>
      <c r="AB148">
        <f t="shared" si="11"/>
        <v>606494.08090060926</v>
      </c>
    </row>
    <row r="149" spans="1:28">
      <c r="A149" t="s">
        <v>58</v>
      </c>
      <c r="B149" s="2">
        <v>45748</v>
      </c>
      <c r="C149" t="s">
        <v>20</v>
      </c>
      <c r="D149">
        <f t="shared" si="8"/>
        <v>1</v>
      </c>
      <c r="E149">
        <f t="shared" si="9"/>
        <v>0</v>
      </c>
      <c r="F149">
        <f t="shared" si="10"/>
        <v>0</v>
      </c>
      <c r="G149" t="s">
        <v>16</v>
      </c>
      <c r="H149">
        <v>60322.400000000001</v>
      </c>
      <c r="I149">
        <v>3350</v>
      </c>
      <c r="J149">
        <v>0.108</v>
      </c>
      <c r="K149">
        <v>12</v>
      </c>
      <c r="L149">
        <v>89.4</v>
      </c>
      <c r="M149">
        <v>4.92</v>
      </c>
      <c r="N149">
        <v>0</v>
      </c>
      <c r="O149">
        <v>3.4</v>
      </c>
      <c r="P149">
        <v>570964.84</v>
      </c>
      <c r="Q149">
        <v>81331.070000000007</v>
      </c>
      <c r="U149">
        <v>1</v>
      </c>
      <c r="V149">
        <v>0</v>
      </c>
      <c r="W149">
        <v>0</v>
      </c>
      <c r="X149">
        <v>60322.400000000001</v>
      </c>
      <c r="Y149">
        <v>3350</v>
      </c>
      <c r="Z149">
        <v>89.4</v>
      </c>
      <c r="AA149">
        <v>3.4</v>
      </c>
      <c r="AB149">
        <f t="shared" si="11"/>
        <v>571570.11952692247</v>
      </c>
    </row>
    <row r="150" spans="1:28">
      <c r="A150" t="s">
        <v>59</v>
      </c>
      <c r="B150" s="2">
        <v>45658</v>
      </c>
      <c r="C150" t="s">
        <v>24</v>
      </c>
      <c r="D150">
        <f t="shared" si="8"/>
        <v>0</v>
      </c>
      <c r="E150">
        <f t="shared" si="9"/>
        <v>1</v>
      </c>
      <c r="F150">
        <f t="shared" si="10"/>
        <v>0</v>
      </c>
      <c r="G150" t="s">
        <v>28</v>
      </c>
      <c r="H150">
        <v>51575.68</v>
      </c>
      <c r="I150">
        <v>5329</v>
      </c>
      <c r="J150">
        <v>4.7E-2</v>
      </c>
      <c r="K150">
        <v>17</v>
      </c>
      <c r="L150">
        <v>88.1</v>
      </c>
      <c r="M150">
        <v>19.78</v>
      </c>
      <c r="N150">
        <v>0</v>
      </c>
      <c r="O150">
        <v>3.8</v>
      </c>
      <c r="P150">
        <v>614024.91</v>
      </c>
      <c r="Q150">
        <v>84828.93</v>
      </c>
      <c r="U150">
        <v>0</v>
      </c>
      <c r="V150">
        <v>1</v>
      </c>
      <c r="W150">
        <v>0</v>
      </c>
      <c r="X150">
        <v>51575.68</v>
      </c>
      <c r="Y150">
        <v>5329</v>
      </c>
      <c r="Z150">
        <v>88.1</v>
      </c>
      <c r="AA150">
        <v>3.8</v>
      </c>
      <c r="AB150">
        <f t="shared" si="11"/>
        <v>642271.55295946577</v>
      </c>
    </row>
    <row r="151" spans="1:28">
      <c r="A151" t="s">
        <v>59</v>
      </c>
      <c r="B151" s="2">
        <v>45689</v>
      </c>
      <c r="C151" t="s">
        <v>24</v>
      </c>
      <c r="D151">
        <f t="shared" si="8"/>
        <v>0</v>
      </c>
      <c r="E151">
        <f t="shared" si="9"/>
        <v>1</v>
      </c>
      <c r="F151">
        <f t="shared" si="10"/>
        <v>0</v>
      </c>
      <c r="G151" t="s">
        <v>28</v>
      </c>
      <c r="H151">
        <v>43319.94</v>
      </c>
      <c r="I151">
        <v>6551</v>
      </c>
      <c r="J151">
        <v>4.3999999999999997E-2</v>
      </c>
      <c r="K151">
        <v>13</v>
      </c>
      <c r="L151">
        <v>99</v>
      </c>
      <c r="M151">
        <v>5.45</v>
      </c>
      <c r="N151">
        <v>0</v>
      </c>
      <c r="O151">
        <v>4.0999999999999996</v>
      </c>
      <c r="P151">
        <v>712868.35</v>
      </c>
      <c r="Q151">
        <v>133650.51</v>
      </c>
      <c r="U151">
        <v>0</v>
      </c>
      <c r="V151">
        <v>1</v>
      </c>
      <c r="W151">
        <v>0</v>
      </c>
      <c r="X151">
        <v>43319.94</v>
      </c>
      <c r="Y151">
        <v>6551</v>
      </c>
      <c r="Z151">
        <v>99</v>
      </c>
      <c r="AA151">
        <v>4.0999999999999996</v>
      </c>
      <c r="AB151">
        <f t="shared" si="11"/>
        <v>708647.56342094752</v>
      </c>
    </row>
    <row r="152" spans="1:28">
      <c r="A152" t="s">
        <v>59</v>
      </c>
      <c r="B152" s="2">
        <v>45717</v>
      </c>
      <c r="C152" t="s">
        <v>24</v>
      </c>
      <c r="D152">
        <f t="shared" si="8"/>
        <v>0</v>
      </c>
      <c r="E152">
        <f t="shared" si="9"/>
        <v>1</v>
      </c>
      <c r="F152">
        <f t="shared" si="10"/>
        <v>0</v>
      </c>
      <c r="G152" t="s">
        <v>28</v>
      </c>
      <c r="H152">
        <v>47093.55</v>
      </c>
      <c r="I152">
        <v>5550</v>
      </c>
      <c r="J152">
        <v>0.1</v>
      </c>
      <c r="K152">
        <v>12</v>
      </c>
      <c r="L152">
        <v>95</v>
      </c>
      <c r="M152">
        <v>2.33</v>
      </c>
      <c r="N152">
        <v>1</v>
      </c>
      <c r="O152">
        <v>3.7</v>
      </c>
      <c r="P152">
        <v>696744.15</v>
      </c>
      <c r="Q152">
        <v>152230.09</v>
      </c>
      <c r="U152">
        <v>0</v>
      </c>
      <c r="V152">
        <v>1</v>
      </c>
      <c r="W152">
        <v>0</v>
      </c>
      <c r="X152">
        <v>47093.55</v>
      </c>
      <c r="Y152">
        <v>5550</v>
      </c>
      <c r="Z152">
        <v>95</v>
      </c>
      <c r="AA152">
        <v>3.7</v>
      </c>
      <c r="AB152">
        <f t="shared" si="11"/>
        <v>663209.29846482479</v>
      </c>
    </row>
    <row r="153" spans="1:28">
      <c r="A153" t="s">
        <v>59</v>
      </c>
      <c r="B153" s="2">
        <v>45748</v>
      </c>
      <c r="C153" t="s">
        <v>24</v>
      </c>
      <c r="D153">
        <f t="shared" si="8"/>
        <v>0</v>
      </c>
      <c r="E153">
        <f t="shared" si="9"/>
        <v>1</v>
      </c>
      <c r="F153">
        <f t="shared" si="10"/>
        <v>0</v>
      </c>
      <c r="G153" t="s">
        <v>28</v>
      </c>
      <c r="H153">
        <v>71855.09</v>
      </c>
      <c r="I153">
        <v>5911</v>
      </c>
      <c r="J153">
        <v>0.19700000000000001</v>
      </c>
      <c r="K153">
        <v>15</v>
      </c>
      <c r="L153">
        <v>94.3</v>
      </c>
      <c r="M153">
        <v>3.55</v>
      </c>
      <c r="N153">
        <v>0</v>
      </c>
      <c r="O153">
        <v>4.0999999999999996</v>
      </c>
      <c r="P153">
        <v>725847.99</v>
      </c>
      <c r="Q153">
        <v>122698.73</v>
      </c>
      <c r="U153">
        <v>0</v>
      </c>
      <c r="V153">
        <v>1</v>
      </c>
      <c r="W153">
        <v>0</v>
      </c>
      <c r="X153">
        <v>71855.09</v>
      </c>
      <c r="Y153">
        <v>5911</v>
      </c>
      <c r="Z153">
        <v>94.3</v>
      </c>
      <c r="AA153">
        <v>4.0999999999999996</v>
      </c>
      <c r="AB153">
        <f t="shared" si="11"/>
        <v>707637.03727691376</v>
      </c>
    </row>
    <row r="154" spans="1:28">
      <c r="A154" t="s">
        <v>60</v>
      </c>
      <c r="B154" s="2">
        <v>45658</v>
      </c>
      <c r="C154" t="s">
        <v>15</v>
      </c>
      <c r="D154">
        <f t="shared" si="8"/>
        <v>0</v>
      </c>
      <c r="E154">
        <f t="shared" si="9"/>
        <v>0</v>
      </c>
      <c r="F154">
        <f t="shared" si="10"/>
        <v>0</v>
      </c>
      <c r="G154" t="s">
        <v>18</v>
      </c>
      <c r="H154">
        <v>75645.23</v>
      </c>
      <c r="I154">
        <v>9674</v>
      </c>
      <c r="J154">
        <v>0.23400000000000001</v>
      </c>
      <c r="K154">
        <v>21</v>
      </c>
      <c r="L154">
        <v>87.4</v>
      </c>
      <c r="M154">
        <v>0.2</v>
      </c>
      <c r="N154">
        <v>0</v>
      </c>
      <c r="O154">
        <v>4.5</v>
      </c>
      <c r="P154">
        <v>785028.25</v>
      </c>
      <c r="Q154">
        <v>110726.44</v>
      </c>
      <c r="U154">
        <v>0</v>
      </c>
      <c r="V154">
        <v>0</v>
      </c>
      <c r="W154">
        <v>0</v>
      </c>
      <c r="X154">
        <v>75645.23</v>
      </c>
      <c r="Y154">
        <v>9674</v>
      </c>
      <c r="Z154">
        <v>87.4</v>
      </c>
      <c r="AA154">
        <v>4.5</v>
      </c>
      <c r="AB154">
        <f t="shared" si="11"/>
        <v>802595.68573661649</v>
      </c>
    </row>
    <row r="155" spans="1:28">
      <c r="A155" t="s">
        <v>60</v>
      </c>
      <c r="B155" s="2">
        <v>45689</v>
      </c>
      <c r="C155" t="s">
        <v>15</v>
      </c>
      <c r="D155">
        <f t="shared" si="8"/>
        <v>0</v>
      </c>
      <c r="E155">
        <f t="shared" si="9"/>
        <v>0</v>
      </c>
      <c r="F155">
        <f t="shared" si="10"/>
        <v>0</v>
      </c>
      <c r="G155" t="s">
        <v>18</v>
      </c>
      <c r="H155">
        <v>64374.75</v>
      </c>
      <c r="I155">
        <v>6740</v>
      </c>
      <c r="J155">
        <v>0.16900000000000001</v>
      </c>
      <c r="K155">
        <v>18</v>
      </c>
      <c r="L155">
        <v>87</v>
      </c>
      <c r="M155">
        <v>2.09</v>
      </c>
      <c r="N155">
        <v>0</v>
      </c>
      <c r="O155">
        <v>4.2</v>
      </c>
      <c r="P155">
        <v>698492.67</v>
      </c>
      <c r="Q155">
        <v>117319.32</v>
      </c>
      <c r="U155">
        <v>0</v>
      </c>
      <c r="V155">
        <v>0</v>
      </c>
      <c r="W155">
        <v>0</v>
      </c>
      <c r="X155">
        <v>64374.75</v>
      </c>
      <c r="Y155">
        <v>6740</v>
      </c>
      <c r="Z155">
        <v>87</v>
      </c>
      <c r="AA155">
        <v>4.2</v>
      </c>
      <c r="AB155">
        <f t="shared" si="11"/>
        <v>684873.48800585594</v>
      </c>
    </row>
    <row r="156" spans="1:28">
      <c r="A156" t="s">
        <v>60</v>
      </c>
      <c r="B156" s="2">
        <v>45717</v>
      </c>
      <c r="C156" t="s">
        <v>15</v>
      </c>
      <c r="D156">
        <f t="shared" si="8"/>
        <v>0</v>
      </c>
      <c r="E156">
        <f t="shared" si="9"/>
        <v>0</v>
      </c>
      <c r="F156">
        <f t="shared" si="10"/>
        <v>0</v>
      </c>
      <c r="G156" t="s">
        <v>18</v>
      </c>
      <c r="H156">
        <v>61433.84</v>
      </c>
      <c r="I156">
        <v>7745</v>
      </c>
      <c r="J156">
        <v>0.18</v>
      </c>
      <c r="K156">
        <v>16</v>
      </c>
      <c r="L156">
        <v>90.5</v>
      </c>
      <c r="M156">
        <v>2.2599999999999998</v>
      </c>
      <c r="N156">
        <v>0</v>
      </c>
      <c r="O156">
        <v>4.2</v>
      </c>
      <c r="P156">
        <v>685830.24</v>
      </c>
      <c r="Q156">
        <v>128736.18</v>
      </c>
      <c r="U156">
        <v>0</v>
      </c>
      <c r="V156">
        <v>0</v>
      </c>
      <c r="W156">
        <v>0</v>
      </c>
      <c r="X156">
        <v>61433.84</v>
      </c>
      <c r="Y156">
        <v>7745</v>
      </c>
      <c r="Z156">
        <v>90.5</v>
      </c>
      <c r="AA156">
        <v>4.2</v>
      </c>
      <c r="AB156">
        <f t="shared" si="11"/>
        <v>725595.45947429386</v>
      </c>
    </row>
    <row r="157" spans="1:28">
      <c r="A157" t="s">
        <v>60</v>
      </c>
      <c r="B157" s="2">
        <v>45748</v>
      </c>
      <c r="C157" t="s">
        <v>15</v>
      </c>
      <c r="D157">
        <f t="shared" si="8"/>
        <v>0</v>
      </c>
      <c r="E157">
        <f t="shared" si="9"/>
        <v>0</v>
      </c>
      <c r="F157">
        <f t="shared" si="10"/>
        <v>0</v>
      </c>
      <c r="G157" t="s">
        <v>18</v>
      </c>
      <c r="H157">
        <v>42698.14</v>
      </c>
      <c r="I157">
        <v>7693</v>
      </c>
      <c r="J157">
        <v>0.187</v>
      </c>
      <c r="K157">
        <v>19</v>
      </c>
      <c r="L157">
        <v>90.1</v>
      </c>
      <c r="M157">
        <v>0.44</v>
      </c>
      <c r="N157">
        <v>0</v>
      </c>
      <c r="O157">
        <v>4.4000000000000004</v>
      </c>
      <c r="P157">
        <v>702318.94</v>
      </c>
      <c r="Q157">
        <v>112829.29</v>
      </c>
      <c r="U157">
        <v>0</v>
      </c>
      <c r="V157">
        <v>0</v>
      </c>
      <c r="W157">
        <v>0</v>
      </c>
      <c r="X157">
        <v>42698.14</v>
      </c>
      <c r="Y157">
        <v>7693</v>
      </c>
      <c r="Z157">
        <v>90.1</v>
      </c>
      <c r="AA157">
        <v>4.4000000000000004</v>
      </c>
      <c r="AB157">
        <f t="shared" si="11"/>
        <v>702353.14906601061</v>
      </c>
    </row>
    <row r="158" spans="1:28">
      <c r="A158" t="s">
        <v>61</v>
      </c>
      <c r="B158" s="2">
        <v>45658</v>
      </c>
      <c r="C158" t="s">
        <v>20</v>
      </c>
      <c r="D158">
        <f t="shared" si="8"/>
        <v>1</v>
      </c>
      <c r="E158">
        <f t="shared" si="9"/>
        <v>0</v>
      </c>
      <c r="F158">
        <f t="shared" si="10"/>
        <v>0</v>
      </c>
      <c r="G158" t="s">
        <v>28</v>
      </c>
      <c r="H158">
        <v>86883.31</v>
      </c>
      <c r="I158">
        <v>6424</v>
      </c>
      <c r="J158">
        <v>5.7000000000000002E-2</v>
      </c>
      <c r="K158">
        <v>19</v>
      </c>
      <c r="L158">
        <v>85.2</v>
      </c>
      <c r="M158">
        <v>3.08</v>
      </c>
      <c r="N158">
        <v>0</v>
      </c>
      <c r="O158">
        <v>3.9</v>
      </c>
      <c r="P158">
        <v>700078.32</v>
      </c>
      <c r="Q158">
        <v>123707.58</v>
      </c>
      <c r="U158">
        <v>1</v>
      </c>
      <c r="V158">
        <v>0</v>
      </c>
      <c r="W158">
        <v>0</v>
      </c>
      <c r="X158">
        <v>86883.31</v>
      </c>
      <c r="Y158">
        <v>6424</v>
      </c>
      <c r="Z158">
        <v>85.2</v>
      </c>
      <c r="AA158">
        <v>3.9</v>
      </c>
      <c r="AB158">
        <f t="shared" si="11"/>
        <v>701359.40855047468</v>
      </c>
    </row>
    <row r="159" spans="1:28">
      <c r="A159" t="s">
        <v>61</v>
      </c>
      <c r="B159" s="2">
        <v>45689</v>
      </c>
      <c r="C159" t="s">
        <v>20</v>
      </c>
      <c r="D159">
        <f t="shared" si="8"/>
        <v>1</v>
      </c>
      <c r="E159">
        <f t="shared" si="9"/>
        <v>0</v>
      </c>
      <c r="F159">
        <f t="shared" si="10"/>
        <v>0</v>
      </c>
      <c r="G159" t="s">
        <v>28</v>
      </c>
      <c r="H159">
        <v>41863.08</v>
      </c>
      <c r="I159">
        <v>5400</v>
      </c>
      <c r="J159">
        <v>0.114</v>
      </c>
      <c r="K159">
        <v>11</v>
      </c>
      <c r="L159">
        <v>91.6</v>
      </c>
      <c r="M159">
        <v>7.99</v>
      </c>
      <c r="N159">
        <v>0</v>
      </c>
      <c r="O159">
        <v>3</v>
      </c>
      <c r="P159">
        <v>602002.31999999995</v>
      </c>
      <c r="Q159">
        <v>110453.28</v>
      </c>
      <c r="U159">
        <v>1</v>
      </c>
      <c r="V159">
        <v>0</v>
      </c>
      <c r="W159">
        <v>0</v>
      </c>
      <c r="X159">
        <v>41863.08</v>
      </c>
      <c r="Y159">
        <v>5400</v>
      </c>
      <c r="Z159">
        <v>91.6</v>
      </c>
      <c r="AA159">
        <v>3</v>
      </c>
      <c r="AB159">
        <f t="shared" si="11"/>
        <v>620985.5165743581</v>
      </c>
    </row>
    <row r="160" spans="1:28">
      <c r="A160" t="s">
        <v>61</v>
      </c>
      <c r="B160" s="2">
        <v>45717</v>
      </c>
      <c r="C160" t="s">
        <v>20</v>
      </c>
      <c r="D160">
        <f t="shared" si="8"/>
        <v>1</v>
      </c>
      <c r="E160">
        <f t="shared" si="9"/>
        <v>0</v>
      </c>
      <c r="F160">
        <f t="shared" si="10"/>
        <v>0</v>
      </c>
      <c r="G160" t="s">
        <v>28</v>
      </c>
      <c r="H160">
        <v>56918.16</v>
      </c>
      <c r="I160">
        <v>7015</v>
      </c>
      <c r="J160">
        <v>0.158</v>
      </c>
      <c r="K160">
        <v>18</v>
      </c>
      <c r="L160">
        <v>74.2</v>
      </c>
      <c r="M160">
        <v>0.2</v>
      </c>
      <c r="N160">
        <v>0</v>
      </c>
      <c r="O160">
        <v>3.4</v>
      </c>
      <c r="P160">
        <v>724216.07</v>
      </c>
      <c r="Q160">
        <v>100627.56</v>
      </c>
      <c r="U160">
        <v>1</v>
      </c>
      <c r="V160">
        <v>0</v>
      </c>
      <c r="W160">
        <v>0</v>
      </c>
      <c r="X160">
        <v>56918.16</v>
      </c>
      <c r="Y160">
        <v>7015</v>
      </c>
      <c r="Z160">
        <v>74.2</v>
      </c>
      <c r="AA160">
        <v>3.4</v>
      </c>
      <c r="AB160">
        <f t="shared" si="11"/>
        <v>648151.22515185818</v>
      </c>
    </row>
    <row r="161" spans="1:28">
      <c r="A161" t="s">
        <v>61</v>
      </c>
      <c r="B161" s="2">
        <v>45748</v>
      </c>
      <c r="C161" t="s">
        <v>20</v>
      </c>
      <c r="D161">
        <f t="shared" si="8"/>
        <v>1</v>
      </c>
      <c r="E161">
        <f t="shared" si="9"/>
        <v>0</v>
      </c>
      <c r="F161">
        <f t="shared" si="10"/>
        <v>0</v>
      </c>
      <c r="G161" t="s">
        <v>28</v>
      </c>
      <c r="H161">
        <v>23254.57</v>
      </c>
      <c r="I161">
        <v>3847</v>
      </c>
      <c r="J161">
        <v>0.159</v>
      </c>
      <c r="K161">
        <v>12</v>
      </c>
      <c r="L161">
        <v>93</v>
      </c>
      <c r="M161">
        <v>5.46</v>
      </c>
      <c r="N161">
        <v>0</v>
      </c>
      <c r="O161">
        <v>3.3</v>
      </c>
      <c r="P161">
        <v>620973.03</v>
      </c>
      <c r="Q161">
        <v>72303.850000000006</v>
      </c>
      <c r="U161">
        <v>1</v>
      </c>
      <c r="V161">
        <v>0</v>
      </c>
      <c r="W161">
        <v>0</v>
      </c>
      <c r="X161">
        <v>23254.57</v>
      </c>
      <c r="Y161">
        <v>3847</v>
      </c>
      <c r="Z161">
        <v>93</v>
      </c>
      <c r="AA161">
        <v>3.3</v>
      </c>
      <c r="AB161">
        <f t="shared" si="11"/>
        <v>553184.37577623827</v>
      </c>
    </row>
    <row r="162" spans="1:28">
      <c r="A162" t="s">
        <v>62</v>
      </c>
      <c r="B162" s="2">
        <v>45658</v>
      </c>
      <c r="C162" t="s">
        <v>24</v>
      </c>
      <c r="D162">
        <f t="shared" si="8"/>
        <v>0</v>
      </c>
      <c r="E162">
        <f t="shared" si="9"/>
        <v>1</v>
      </c>
      <c r="F162">
        <f t="shared" si="10"/>
        <v>0</v>
      </c>
      <c r="G162" t="s">
        <v>18</v>
      </c>
      <c r="H162">
        <v>41443.410000000003</v>
      </c>
      <c r="I162">
        <v>7455</v>
      </c>
      <c r="J162">
        <v>0.17499999999999999</v>
      </c>
      <c r="K162">
        <v>16</v>
      </c>
      <c r="L162">
        <v>90.1</v>
      </c>
      <c r="M162">
        <v>4.05</v>
      </c>
      <c r="N162">
        <v>0</v>
      </c>
      <c r="O162">
        <v>4</v>
      </c>
      <c r="P162">
        <v>650480.06000000006</v>
      </c>
      <c r="Q162">
        <v>109012.07</v>
      </c>
      <c r="U162">
        <v>0</v>
      </c>
      <c r="V162">
        <v>1</v>
      </c>
      <c r="W162">
        <v>0</v>
      </c>
      <c r="X162">
        <v>41443.410000000003</v>
      </c>
      <c r="Y162">
        <v>7455</v>
      </c>
      <c r="Z162">
        <v>90.1</v>
      </c>
      <c r="AA162">
        <v>4</v>
      </c>
      <c r="AB162">
        <f t="shared" si="11"/>
        <v>710318.7913848022</v>
      </c>
    </row>
    <row r="163" spans="1:28">
      <c r="A163" t="s">
        <v>62</v>
      </c>
      <c r="B163" s="2">
        <v>45689</v>
      </c>
      <c r="C163" t="s">
        <v>24</v>
      </c>
      <c r="D163">
        <f t="shared" si="8"/>
        <v>0</v>
      </c>
      <c r="E163">
        <f t="shared" si="9"/>
        <v>1</v>
      </c>
      <c r="F163">
        <f t="shared" si="10"/>
        <v>0</v>
      </c>
      <c r="G163" t="s">
        <v>18</v>
      </c>
      <c r="H163">
        <v>48438.85</v>
      </c>
      <c r="I163">
        <v>6992</v>
      </c>
      <c r="J163">
        <v>3.4000000000000002E-2</v>
      </c>
      <c r="K163">
        <v>20</v>
      </c>
      <c r="L163">
        <v>91</v>
      </c>
      <c r="M163">
        <v>4.3600000000000003</v>
      </c>
      <c r="N163">
        <v>0</v>
      </c>
      <c r="O163">
        <v>4.2</v>
      </c>
      <c r="P163">
        <v>778298.88</v>
      </c>
      <c r="Q163">
        <v>130076.72</v>
      </c>
      <c r="U163">
        <v>0</v>
      </c>
      <c r="V163">
        <v>1</v>
      </c>
      <c r="W163">
        <v>0</v>
      </c>
      <c r="X163">
        <v>48438.85</v>
      </c>
      <c r="Y163">
        <v>6992</v>
      </c>
      <c r="Z163">
        <v>91</v>
      </c>
      <c r="AA163">
        <v>4.2</v>
      </c>
      <c r="AB163">
        <f t="shared" si="11"/>
        <v>707797.57120881754</v>
      </c>
    </row>
    <row r="164" spans="1:28">
      <c r="A164" t="s">
        <v>62</v>
      </c>
      <c r="B164" s="2">
        <v>45717</v>
      </c>
      <c r="C164" t="s">
        <v>24</v>
      </c>
      <c r="D164">
        <f t="shared" si="8"/>
        <v>0</v>
      </c>
      <c r="E164">
        <f t="shared" si="9"/>
        <v>1</v>
      </c>
      <c r="F164">
        <f t="shared" si="10"/>
        <v>0</v>
      </c>
      <c r="G164" t="s">
        <v>18</v>
      </c>
      <c r="H164">
        <v>57143.3</v>
      </c>
      <c r="I164">
        <v>8038</v>
      </c>
      <c r="J164">
        <v>0.193</v>
      </c>
      <c r="K164">
        <v>17</v>
      </c>
      <c r="L164">
        <v>72.599999999999994</v>
      </c>
      <c r="M164">
        <v>4.5590445859872624</v>
      </c>
      <c r="N164">
        <v>0</v>
      </c>
      <c r="O164">
        <v>4.2</v>
      </c>
      <c r="P164">
        <v>677096.71</v>
      </c>
      <c r="Q164">
        <v>97174.11</v>
      </c>
      <c r="U164">
        <v>0</v>
      </c>
      <c r="V164">
        <v>1</v>
      </c>
      <c r="W164">
        <v>0</v>
      </c>
      <c r="X164">
        <v>57143.3</v>
      </c>
      <c r="Y164">
        <v>8038</v>
      </c>
      <c r="Z164">
        <v>72.599999999999994</v>
      </c>
      <c r="AA164">
        <v>4.2</v>
      </c>
      <c r="AB164">
        <f t="shared" si="11"/>
        <v>700694.31354692078</v>
      </c>
    </row>
    <row r="165" spans="1:28">
      <c r="A165" t="s">
        <v>62</v>
      </c>
      <c r="B165" s="2">
        <v>45748</v>
      </c>
      <c r="C165" t="s">
        <v>24</v>
      </c>
      <c r="D165">
        <f t="shared" si="8"/>
        <v>0</v>
      </c>
      <c r="E165">
        <f t="shared" si="9"/>
        <v>1</v>
      </c>
      <c r="F165">
        <f t="shared" si="10"/>
        <v>0</v>
      </c>
      <c r="G165" t="s">
        <v>18</v>
      </c>
      <c r="H165">
        <v>66870.62</v>
      </c>
      <c r="I165">
        <v>6055</v>
      </c>
      <c r="J165">
        <v>7.4999999999999997E-2</v>
      </c>
      <c r="K165">
        <v>19</v>
      </c>
      <c r="L165">
        <v>93.8</v>
      </c>
      <c r="M165">
        <v>0.54</v>
      </c>
      <c r="N165">
        <v>0</v>
      </c>
      <c r="O165">
        <v>4.3</v>
      </c>
      <c r="P165">
        <v>692008.64</v>
      </c>
      <c r="Q165">
        <v>116337.87</v>
      </c>
      <c r="U165">
        <v>0</v>
      </c>
      <c r="V165">
        <v>1</v>
      </c>
      <c r="W165">
        <v>0</v>
      </c>
      <c r="X165">
        <v>66870.62</v>
      </c>
      <c r="Y165">
        <v>6055</v>
      </c>
      <c r="Z165">
        <v>93.8</v>
      </c>
      <c r="AA165">
        <v>4.3</v>
      </c>
      <c r="AB165">
        <f t="shared" si="11"/>
        <v>707299.70539476315</v>
      </c>
    </row>
    <row r="166" spans="1:28">
      <c r="A166" t="s">
        <v>63</v>
      </c>
      <c r="B166" s="2">
        <v>45658</v>
      </c>
      <c r="C166" t="s">
        <v>20</v>
      </c>
      <c r="D166">
        <f t="shared" si="8"/>
        <v>1</v>
      </c>
      <c r="E166">
        <f t="shared" si="9"/>
        <v>0</v>
      </c>
      <c r="F166">
        <f t="shared" si="10"/>
        <v>0</v>
      </c>
      <c r="G166" t="s">
        <v>28</v>
      </c>
      <c r="H166">
        <v>72150.53</v>
      </c>
      <c r="I166">
        <v>9323</v>
      </c>
      <c r="J166">
        <v>0.157</v>
      </c>
      <c r="K166">
        <v>22</v>
      </c>
      <c r="L166">
        <v>82.9</v>
      </c>
      <c r="M166">
        <v>11.37</v>
      </c>
      <c r="N166">
        <v>1</v>
      </c>
      <c r="O166">
        <v>4.3</v>
      </c>
      <c r="P166">
        <v>825797.91</v>
      </c>
      <c r="Q166">
        <v>130945.24</v>
      </c>
      <c r="U166">
        <v>1</v>
      </c>
      <c r="V166">
        <v>0</v>
      </c>
      <c r="W166">
        <v>0</v>
      </c>
      <c r="X166">
        <v>72150.53</v>
      </c>
      <c r="Y166">
        <v>9323</v>
      </c>
      <c r="Z166">
        <v>82.9</v>
      </c>
      <c r="AA166">
        <v>4.3</v>
      </c>
      <c r="AB166">
        <f t="shared" si="11"/>
        <v>779937.44547647925</v>
      </c>
    </row>
    <row r="167" spans="1:28">
      <c r="A167" t="s">
        <v>63</v>
      </c>
      <c r="B167" s="2">
        <v>45689</v>
      </c>
      <c r="C167" t="s">
        <v>20</v>
      </c>
      <c r="D167">
        <f t="shared" si="8"/>
        <v>1</v>
      </c>
      <c r="E167">
        <f t="shared" si="9"/>
        <v>0</v>
      </c>
      <c r="F167">
        <f t="shared" si="10"/>
        <v>0</v>
      </c>
      <c r="G167" t="s">
        <v>28</v>
      </c>
      <c r="H167">
        <v>35303.300000000003</v>
      </c>
      <c r="I167">
        <v>8789</v>
      </c>
      <c r="J167">
        <v>0.123</v>
      </c>
      <c r="K167">
        <v>22</v>
      </c>
      <c r="L167">
        <v>86.1</v>
      </c>
      <c r="M167">
        <v>9.43</v>
      </c>
      <c r="N167">
        <v>0</v>
      </c>
      <c r="O167">
        <v>4.2</v>
      </c>
      <c r="P167">
        <v>706285.52</v>
      </c>
      <c r="Q167">
        <v>138014.72</v>
      </c>
      <c r="U167">
        <v>1</v>
      </c>
      <c r="V167">
        <v>0</v>
      </c>
      <c r="W167">
        <v>0</v>
      </c>
      <c r="X167">
        <v>35303.300000000003</v>
      </c>
      <c r="Y167">
        <v>8789</v>
      </c>
      <c r="Z167">
        <v>86.1</v>
      </c>
      <c r="AA167">
        <v>4.2</v>
      </c>
      <c r="AB167">
        <f t="shared" si="11"/>
        <v>725624.46087011078</v>
      </c>
    </row>
    <row r="168" spans="1:28">
      <c r="A168" t="s">
        <v>63</v>
      </c>
      <c r="B168" s="2">
        <v>45717</v>
      </c>
      <c r="C168" t="s">
        <v>20</v>
      </c>
      <c r="D168">
        <f t="shared" si="8"/>
        <v>1</v>
      </c>
      <c r="E168">
        <f t="shared" si="9"/>
        <v>0</v>
      </c>
      <c r="F168">
        <f t="shared" si="10"/>
        <v>0</v>
      </c>
      <c r="G168" t="s">
        <v>28</v>
      </c>
      <c r="H168">
        <v>30301.86</v>
      </c>
      <c r="I168">
        <v>6939</v>
      </c>
      <c r="J168">
        <v>0.09</v>
      </c>
      <c r="K168">
        <v>16</v>
      </c>
      <c r="L168">
        <v>90.3</v>
      </c>
      <c r="M168">
        <v>3.49</v>
      </c>
      <c r="N168">
        <v>0</v>
      </c>
      <c r="O168">
        <v>4</v>
      </c>
      <c r="P168">
        <v>665534.69999999995</v>
      </c>
      <c r="Q168">
        <v>113167.73</v>
      </c>
      <c r="U168">
        <v>1</v>
      </c>
      <c r="V168">
        <v>0</v>
      </c>
      <c r="W168">
        <v>0</v>
      </c>
      <c r="X168">
        <v>30301.86</v>
      </c>
      <c r="Y168">
        <v>6939</v>
      </c>
      <c r="Z168">
        <v>90.3</v>
      </c>
      <c r="AA168">
        <v>4</v>
      </c>
      <c r="AB168">
        <f t="shared" si="11"/>
        <v>666659.77577394946</v>
      </c>
    </row>
    <row r="169" spans="1:28">
      <c r="A169" t="s">
        <v>63</v>
      </c>
      <c r="B169" s="2">
        <v>45748</v>
      </c>
      <c r="C169" t="s">
        <v>20</v>
      </c>
      <c r="D169">
        <f t="shared" si="8"/>
        <v>1</v>
      </c>
      <c r="E169">
        <f t="shared" si="9"/>
        <v>0</v>
      </c>
      <c r="F169">
        <f t="shared" si="10"/>
        <v>0</v>
      </c>
      <c r="G169" t="s">
        <v>28</v>
      </c>
      <c r="H169">
        <v>78432.14</v>
      </c>
      <c r="I169">
        <v>9440</v>
      </c>
      <c r="J169">
        <v>0.126</v>
      </c>
      <c r="K169">
        <v>23</v>
      </c>
      <c r="L169">
        <v>89.2</v>
      </c>
      <c r="M169">
        <v>7.86</v>
      </c>
      <c r="N169">
        <v>0</v>
      </c>
      <c r="O169">
        <v>4.0999999999999996</v>
      </c>
      <c r="P169">
        <v>820729.29</v>
      </c>
      <c r="Q169">
        <v>159325.47</v>
      </c>
      <c r="U169">
        <v>1</v>
      </c>
      <c r="V169">
        <v>0</v>
      </c>
      <c r="W169">
        <v>0</v>
      </c>
      <c r="X169">
        <v>78432.14</v>
      </c>
      <c r="Y169">
        <v>9440</v>
      </c>
      <c r="Z169">
        <v>89.2</v>
      </c>
      <c r="AA169">
        <v>4.0999999999999996</v>
      </c>
      <c r="AB169">
        <f t="shared" si="11"/>
        <v>807447.24645990471</v>
      </c>
    </row>
    <row r="170" spans="1:28">
      <c r="A170" t="s">
        <v>64</v>
      </c>
      <c r="B170" s="2">
        <v>45658</v>
      </c>
      <c r="C170" t="s">
        <v>15</v>
      </c>
      <c r="D170">
        <f t="shared" si="8"/>
        <v>0</v>
      </c>
      <c r="E170">
        <f t="shared" si="9"/>
        <v>0</v>
      </c>
      <c r="F170">
        <f t="shared" si="10"/>
        <v>0</v>
      </c>
      <c r="G170" t="s">
        <v>16</v>
      </c>
      <c r="H170">
        <v>62059.18</v>
      </c>
      <c r="I170">
        <v>9374</v>
      </c>
      <c r="J170">
        <v>0.13600000000000001</v>
      </c>
      <c r="K170">
        <v>25</v>
      </c>
      <c r="L170">
        <v>87.1</v>
      </c>
      <c r="M170">
        <v>12.55</v>
      </c>
      <c r="N170">
        <v>0</v>
      </c>
      <c r="O170">
        <v>4.9000000000000004</v>
      </c>
      <c r="P170">
        <v>739831.73</v>
      </c>
      <c r="Q170">
        <v>119490.21</v>
      </c>
      <c r="U170">
        <v>0</v>
      </c>
      <c r="V170">
        <v>0</v>
      </c>
      <c r="W170">
        <v>0</v>
      </c>
      <c r="X170">
        <v>62059.18</v>
      </c>
      <c r="Y170">
        <v>9374</v>
      </c>
      <c r="Z170">
        <v>87.1</v>
      </c>
      <c r="AA170">
        <v>4.9000000000000004</v>
      </c>
      <c r="AB170">
        <f t="shared" si="11"/>
        <v>779610.23837161169</v>
      </c>
    </row>
    <row r="171" spans="1:28">
      <c r="A171" t="s">
        <v>64</v>
      </c>
      <c r="B171" s="2">
        <v>45689</v>
      </c>
      <c r="C171" t="s">
        <v>15</v>
      </c>
      <c r="D171">
        <f t="shared" si="8"/>
        <v>0</v>
      </c>
      <c r="E171">
        <f t="shared" si="9"/>
        <v>0</v>
      </c>
      <c r="F171">
        <f t="shared" si="10"/>
        <v>0</v>
      </c>
      <c r="G171" t="s">
        <v>16</v>
      </c>
      <c r="H171">
        <v>32834.480000000003</v>
      </c>
      <c r="I171">
        <v>7576</v>
      </c>
      <c r="J171">
        <v>9.9000000000000005E-2</v>
      </c>
      <c r="K171">
        <v>15</v>
      </c>
      <c r="L171">
        <v>84.1</v>
      </c>
      <c r="M171">
        <v>3.48</v>
      </c>
      <c r="N171">
        <v>0</v>
      </c>
      <c r="O171">
        <v>5</v>
      </c>
      <c r="P171">
        <v>593637.14</v>
      </c>
      <c r="Q171">
        <v>106648.14</v>
      </c>
      <c r="U171">
        <v>0</v>
      </c>
      <c r="V171">
        <v>0</v>
      </c>
      <c r="W171">
        <v>0</v>
      </c>
      <c r="X171">
        <v>32834.480000000003</v>
      </c>
      <c r="Y171">
        <v>7576</v>
      </c>
      <c r="Z171">
        <v>84.1</v>
      </c>
      <c r="AA171">
        <v>5</v>
      </c>
      <c r="AB171">
        <f t="shared" si="11"/>
        <v>675812.76135008456</v>
      </c>
    </row>
    <row r="172" spans="1:28">
      <c r="A172" t="s">
        <v>64</v>
      </c>
      <c r="B172" s="2">
        <v>45717</v>
      </c>
      <c r="C172" t="s">
        <v>15</v>
      </c>
      <c r="D172">
        <f t="shared" si="8"/>
        <v>0</v>
      </c>
      <c r="E172">
        <f t="shared" si="9"/>
        <v>0</v>
      </c>
      <c r="F172">
        <f t="shared" si="10"/>
        <v>0</v>
      </c>
      <c r="G172" t="s">
        <v>16</v>
      </c>
      <c r="H172">
        <v>50825.08</v>
      </c>
      <c r="I172">
        <v>8949</v>
      </c>
      <c r="J172">
        <v>0.157</v>
      </c>
      <c r="K172">
        <v>21</v>
      </c>
      <c r="L172">
        <v>84.7</v>
      </c>
      <c r="M172">
        <v>7.73</v>
      </c>
      <c r="N172">
        <v>0</v>
      </c>
      <c r="O172">
        <v>4.9000000000000004</v>
      </c>
      <c r="P172">
        <v>769702.76</v>
      </c>
      <c r="Q172">
        <v>158697</v>
      </c>
      <c r="U172">
        <v>0</v>
      </c>
      <c r="V172">
        <v>0</v>
      </c>
      <c r="W172">
        <v>0</v>
      </c>
      <c r="X172">
        <v>50825.08</v>
      </c>
      <c r="Y172">
        <v>8949</v>
      </c>
      <c r="Z172">
        <v>84.7</v>
      </c>
      <c r="AA172">
        <v>4.9000000000000004</v>
      </c>
      <c r="AB172">
        <f t="shared" si="11"/>
        <v>744732.30673304014</v>
      </c>
    </row>
    <row r="173" spans="1:28">
      <c r="A173" t="s">
        <v>64</v>
      </c>
      <c r="B173" s="2">
        <v>45748</v>
      </c>
      <c r="C173" t="s">
        <v>15</v>
      </c>
      <c r="D173">
        <f t="shared" si="8"/>
        <v>0</v>
      </c>
      <c r="E173">
        <f t="shared" si="9"/>
        <v>0</v>
      </c>
      <c r="F173">
        <f t="shared" si="10"/>
        <v>0</v>
      </c>
      <c r="G173" t="s">
        <v>16</v>
      </c>
      <c r="H173">
        <v>36606.51</v>
      </c>
      <c r="I173">
        <v>7671</v>
      </c>
      <c r="J173">
        <v>0.11799999999999999</v>
      </c>
      <c r="K173">
        <v>18</v>
      </c>
      <c r="L173">
        <v>89.8</v>
      </c>
      <c r="M173">
        <v>0.25</v>
      </c>
      <c r="N173">
        <v>0</v>
      </c>
      <c r="O173">
        <v>4.4000000000000004</v>
      </c>
      <c r="P173">
        <v>679731.57</v>
      </c>
      <c r="Q173">
        <v>121546.42</v>
      </c>
      <c r="U173">
        <v>0</v>
      </c>
      <c r="V173">
        <v>0</v>
      </c>
      <c r="W173">
        <v>0</v>
      </c>
      <c r="X173">
        <v>36606.51</v>
      </c>
      <c r="Y173">
        <v>7671</v>
      </c>
      <c r="Z173">
        <v>89.8</v>
      </c>
      <c r="AA173">
        <v>4.4000000000000004</v>
      </c>
      <c r="AB173">
        <f t="shared" si="11"/>
        <v>693415.67044690775</v>
      </c>
    </row>
    <row r="174" spans="1:28">
      <c r="A174" t="s">
        <v>65</v>
      </c>
      <c r="B174" s="2">
        <v>45658</v>
      </c>
      <c r="C174" t="s">
        <v>15</v>
      </c>
      <c r="D174">
        <f t="shared" si="8"/>
        <v>0</v>
      </c>
      <c r="E174">
        <f t="shared" si="9"/>
        <v>0</v>
      </c>
      <c r="F174">
        <f t="shared" si="10"/>
        <v>0</v>
      </c>
      <c r="G174" t="s">
        <v>16</v>
      </c>
      <c r="H174">
        <v>65237.79</v>
      </c>
      <c r="I174">
        <v>8741</v>
      </c>
      <c r="J174">
        <v>0.157</v>
      </c>
      <c r="K174">
        <v>20</v>
      </c>
      <c r="L174">
        <v>94.4</v>
      </c>
      <c r="M174">
        <v>6.43</v>
      </c>
      <c r="N174">
        <v>0</v>
      </c>
      <c r="O174">
        <v>3.3</v>
      </c>
      <c r="P174">
        <v>780344.18</v>
      </c>
      <c r="Q174">
        <v>118239.09</v>
      </c>
      <c r="U174">
        <v>0</v>
      </c>
      <c r="V174">
        <v>0</v>
      </c>
      <c r="W174">
        <v>0</v>
      </c>
      <c r="X174">
        <v>65237.79</v>
      </c>
      <c r="Y174">
        <v>8741</v>
      </c>
      <c r="Z174">
        <v>94.4</v>
      </c>
      <c r="AA174">
        <v>3.3</v>
      </c>
      <c r="AB174">
        <f t="shared" si="11"/>
        <v>765352.94065780903</v>
      </c>
    </row>
    <row r="175" spans="1:28">
      <c r="A175" t="s">
        <v>65</v>
      </c>
      <c r="B175" s="2">
        <v>45689</v>
      </c>
      <c r="C175" t="s">
        <v>15</v>
      </c>
      <c r="D175">
        <f t="shared" si="8"/>
        <v>0</v>
      </c>
      <c r="E175">
        <f t="shared" si="9"/>
        <v>0</v>
      </c>
      <c r="F175">
        <f t="shared" si="10"/>
        <v>0</v>
      </c>
      <c r="G175" t="s">
        <v>16</v>
      </c>
      <c r="H175">
        <v>43645.98</v>
      </c>
      <c r="I175">
        <v>9480</v>
      </c>
      <c r="J175">
        <v>0.109</v>
      </c>
      <c r="K175">
        <v>22</v>
      </c>
      <c r="L175">
        <v>89</v>
      </c>
      <c r="M175">
        <v>2.11</v>
      </c>
      <c r="N175">
        <v>0</v>
      </c>
      <c r="O175">
        <v>3.1</v>
      </c>
      <c r="P175">
        <v>721364.11</v>
      </c>
      <c r="Q175">
        <v>147272.81</v>
      </c>
      <c r="U175">
        <v>0</v>
      </c>
      <c r="V175">
        <v>0</v>
      </c>
      <c r="W175">
        <v>0</v>
      </c>
      <c r="X175">
        <v>43645.98</v>
      </c>
      <c r="Y175">
        <v>9480</v>
      </c>
      <c r="Z175">
        <v>89</v>
      </c>
      <c r="AA175">
        <v>3.1</v>
      </c>
      <c r="AB175">
        <f t="shared" si="11"/>
        <v>746714.68244882848</v>
      </c>
    </row>
    <row r="176" spans="1:28">
      <c r="A176" t="s">
        <v>65</v>
      </c>
      <c r="B176" s="2">
        <v>45717</v>
      </c>
      <c r="C176" t="s">
        <v>15</v>
      </c>
      <c r="D176">
        <f t="shared" si="8"/>
        <v>0</v>
      </c>
      <c r="E176">
        <f t="shared" si="9"/>
        <v>0</v>
      </c>
      <c r="F176">
        <f t="shared" si="10"/>
        <v>0</v>
      </c>
      <c r="G176" t="s">
        <v>16</v>
      </c>
      <c r="H176">
        <v>68040.149999999994</v>
      </c>
      <c r="I176">
        <v>9826</v>
      </c>
      <c r="J176">
        <v>0.125</v>
      </c>
      <c r="K176">
        <v>20</v>
      </c>
      <c r="L176">
        <v>83.9</v>
      </c>
      <c r="M176">
        <v>9.1199999999999992</v>
      </c>
      <c r="N176">
        <v>0</v>
      </c>
      <c r="O176">
        <v>3.6</v>
      </c>
      <c r="P176">
        <v>758138.29</v>
      </c>
      <c r="Q176">
        <v>132975.26</v>
      </c>
      <c r="U176">
        <v>0</v>
      </c>
      <c r="V176">
        <v>0</v>
      </c>
      <c r="W176">
        <v>0</v>
      </c>
      <c r="X176">
        <v>68040.149999999994</v>
      </c>
      <c r="Y176">
        <v>9826</v>
      </c>
      <c r="Z176">
        <v>83.9</v>
      </c>
      <c r="AA176">
        <v>3.6</v>
      </c>
      <c r="AB176">
        <f t="shared" si="11"/>
        <v>778591.84461382648</v>
      </c>
    </row>
    <row r="177" spans="1:28">
      <c r="A177" t="s">
        <v>65</v>
      </c>
      <c r="B177" s="2">
        <v>45748</v>
      </c>
      <c r="C177" t="s">
        <v>15</v>
      </c>
      <c r="D177">
        <f t="shared" si="8"/>
        <v>0</v>
      </c>
      <c r="E177">
        <f t="shared" si="9"/>
        <v>0</v>
      </c>
      <c r="F177">
        <f t="shared" si="10"/>
        <v>0</v>
      </c>
      <c r="G177" t="s">
        <v>16</v>
      </c>
      <c r="H177">
        <v>63043.94</v>
      </c>
      <c r="I177">
        <v>10402</v>
      </c>
      <c r="J177">
        <v>0.159</v>
      </c>
      <c r="K177">
        <v>23</v>
      </c>
      <c r="L177">
        <v>93.9</v>
      </c>
      <c r="M177">
        <v>2.71</v>
      </c>
      <c r="N177">
        <v>0</v>
      </c>
      <c r="O177">
        <v>3.1</v>
      </c>
      <c r="P177">
        <v>804264</v>
      </c>
      <c r="Q177">
        <v>167117.91</v>
      </c>
      <c r="U177">
        <v>0</v>
      </c>
      <c r="V177">
        <v>0</v>
      </c>
      <c r="W177">
        <v>0</v>
      </c>
      <c r="X177">
        <v>63043.94</v>
      </c>
      <c r="Y177">
        <v>10402</v>
      </c>
      <c r="Z177">
        <v>93.9</v>
      </c>
      <c r="AA177">
        <v>3.1</v>
      </c>
      <c r="AB177">
        <f t="shared" si="11"/>
        <v>815514.81785620144</v>
      </c>
    </row>
    <row r="178" spans="1:28">
      <c r="A178" t="s">
        <v>66</v>
      </c>
      <c r="B178" s="2">
        <v>45658</v>
      </c>
      <c r="C178" t="s">
        <v>27</v>
      </c>
      <c r="D178">
        <f t="shared" si="8"/>
        <v>0</v>
      </c>
      <c r="E178">
        <f t="shared" si="9"/>
        <v>0</v>
      </c>
      <c r="F178">
        <f t="shared" si="10"/>
        <v>1</v>
      </c>
      <c r="G178" t="s">
        <v>21</v>
      </c>
      <c r="H178">
        <v>67494.09</v>
      </c>
      <c r="I178">
        <v>12361</v>
      </c>
      <c r="J178">
        <v>4.5999999999999999E-2</v>
      </c>
      <c r="K178">
        <v>24</v>
      </c>
      <c r="L178">
        <v>76.599999999999994</v>
      </c>
      <c r="M178">
        <v>3.65</v>
      </c>
      <c r="N178">
        <v>1</v>
      </c>
      <c r="O178">
        <v>3.7</v>
      </c>
      <c r="P178">
        <v>887537.75</v>
      </c>
      <c r="Q178">
        <v>160362.92000000001</v>
      </c>
      <c r="U178">
        <v>0</v>
      </c>
      <c r="V178">
        <v>0</v>
      </c>
      <c r="W178">
        <v>1</v>
      </c>
      <c r="X178">
        <v>67494.09</v>
      </c>
      <c r="Y178">
        <v>12361</v>
      </c>
      <c r="Z178">
        <v>76.599999999999994</v>
      </c>
      <c r="AA178">
        <v>3.7</v>
      </c>
      <c r="AB178">
        <f t="shared" si="11"/>
        <v>861157.59060867783</v>
      </c>
    </row>
    <row r="179" spans="1:28">
      <c r="A179" t="s">
        <v>66</v>
      </c>
      <c r="B179" s="2">
        <v>45689</v>
      </c>
      <c r="C179" t="s">
        <v>27</v>
      </c>
      <c r="D179">
        <f t="shared" si="8"/>
        <v>0</v>
      </c>
      <c r="E179">
        <f t="shared" si="9"/>
        <v>0</v>
      </c>
      <c r="F179">
        <f t="shared" si="10"/>
        <v>1</v>
      </c>
      <c r="G179" t="s">
        <v>21</v>
      </c>
      <c r="H179">
        <v>29389.32</v>
      </c>
      <c r="I179">
        <v>7925</v>
      </c>
      <c r="J179">
        <v>0.17699999999999999</v>
      </c>
      <c r="K179">
        <v>21</v>
      </c>
      <c r="L179">
        <v>90.9</v>
      </c>
      <c r="M179">
        <v>7.86</v>
      </c>
      <c r="N179">
        <v>0</v>
      </c>
      <c r="O179">
        <v>4</v>
      </c>
      <c r="P179">
        <v>783582</v>
      </c>
      <c r="Q179">
        <v>130670.93</v>
      </c>
      <c r="U179">
        <v>0</v>
      </c>
      <c r="V179">
        <v>0</v>
      </c>
      <c r="W179">
        <v>1</v>
      </c>
      <c r="X179">
        <v>29389.32</v>
      </c>
      <c r="Y179">
        <v>7925</v>
      </c>
      <c r="Z179">
        <v>90.9</v>
      </c>
      <c r="AA179">
        <v>4</v>
      </c>
      <c r="AB179">
        <f t="shared" si="11"/>
        <v>709178.88153499435</v>
      </c>
    </row>
    <row r="180" spans="1:28">
      <c r="A180" t="s">
        <v>66</v>
      </c>
      <c r="B180" s="2">
        <v>45717</v>
      </c>
      <c r="C180" t="s">
        <v>27</v>
      </c>
      <c r="D180">
        <f t="shared" si="8"/>
        <v>0</v>
      </c>
      <c r="E180">
        <f t="shared" si="9"/>
        <v>0</v>
      </c>
      <c r="F180">
        <f t="shared" si="10"/>
        <v>1</v>
      </c>
      <c r="G180" t="s">
        <v>21</v>
      </c>
      <c r="H180">
        <v>40535.089999999997</v>
      </c>
      <c r="I180">
        <v>8870</v>
      </c>
      <c r="J180">
        <v>4.1000000000000002E-2</v>
      </c>
      <c r="K180">
        <v>21</v>
      </c>
      <c r="L180">
        <v>86.6</v>
      </c>
      <c r="M180">
        <v>0.3</v>
      </c>
      <c r="N180">
        <v>0</v>
      </c>
      <c r="O180">
        <v>4.0999999999999996</v>
      </c>
      <c r="P180">
        <v>781955.52</v>
      </c>
      <c r="Q180">
        <v>152578.71</v>
      </c>
      <c r="U180">
        <v>0</v>
      </c>
      <c r="V180">
        <v>0</v>
      </c>
      <c r="W180">
        <v>1</v>
      </c>
      <c r="X180">
        <v>40535.089999999997</v>
      </c>
      <c r="Y180">
        <v>8870</v>
      </c>
      <c r="Z180">
        <v>86.6</v>
      </c>
      <c r="AA180">
        <v>4.0999999999999996</v>
      </c>
      <c r="AB180">
        <f t="shared" si="11"/>
        <v>743383.80632286391</v>
      </c>
    </row>
    <row r="181" spans="1:28">
      <c r="A181" t="s">
        <v>66</v>
      </c>
      <c r="B181" s="2">
        <v>45748</v>
      </c>
      <c r="C181" t="s">
        <v>27</v>
      </c>
      <c r="D181">
        <f t="shared" si="8"/>
        <v>0</v>
      </c>
      <c r="E181">
        <f t="shared" si="9"/>
        <v>0</v>
      </c>
      <c r="F181">
        <f t="shared" si="10"/>
        <v>1</v>
      </c>
      <c r="G181" t="s">
        <v>21</v>
      </c>
      <c r="H181">
        <v>74881.56</v>
      </c>
      <c r="I181">
        <v>9999</v>
      </c>
      <c r="J181">
        <v>1.2999999999999999E-2</v>
      </c>
      <c r="K181">
        <v>20</v>
      </c>
      <c r="L181">
        <v>89.6</v>
      </c>
      <c r="M181">
        <v>8.44</v>
      </c>
      <c r="N181">
        <v>0</v>
      </c>
      <c r="O181">
        <v>4.0999999999999996</v>
      </c>
      <c r="P181">
        <v>898031.04</v>
      </c>
      <c r="Q181">
        <v>138666.5</v>
      </c>
      <c r="U181">
        <v>0</v>
      </c>
      <c r="V181">
        <v>0</v>
      </c>
      <c r="W181">
        <v>1</v>
      </c>
      <c r="X181">
        <v>74881.56</v>
      </c>
      <c r="Y181">
        <v>9999</v>
      </c>
      <c r="Z181">
        <v>89.6</v>
      </c>
      <c r="AA181">
        <v>4.0999999999999996</v>
      </c>
      <c r="AB181">
        <f t="shared" si="11"/>
        <v>831706.08248581656</v>
      </c>
    </row>
    <row r="182" spans="1:28">
      <c r="A182" t="s">
        <v>67</v>
      </c>
      <c r="B182" s="2">
        <v>45658</v>
      </c>
      <c r="C182" t="s">
        <v>27</v>
      </c>
      <c r="D182">
        <f t="shared" si="8"/>
        <v>0</v>
      </c>
      <c r="E182">
        <f t="shared" si="9"/>
        <v>0</v>
      </c>
      <c r="F182">
        <f t="shared" si="10"/>
        <v>1</v>
      </c>
      <c r="G182" t="s">
        <v>16</v>
      </c>
      <c r="H182">
        <v>68491.11</v>
      </c>
      <c r="I182">
        <v>11154</v>
      </c>
      <c r="J182">
        <v>1E-3</v>
      </c>
      <c r="K182">
        <v>24</v>
      </c>
      <c r="L182">
        <v>89.4</v>
      </c>
      <c r="M182">
        <v>5.27</v>
      </c>
      <c r="N182">
        <v>1</v>
      </c>
      <c r="O182">
        <v>3.9</v>
      </c>
      <c r="P182">
        <v>855341.28</v>
      </c>
      <c r="Q182">
        <v>175823.8</v>
      </c>
      <c r="U182">
        <v>0</v>
      </c>
      <c r="V182">
        <v>0</v>
      </c>
      <c r="W182">
        <v>1</v>
      </c>
      <c r="X182">
        <v>68491.11</v>
      </c>
      <c r="Y182">
        <v>11154</v>
      </c>
      <c r="Z182">
        <v>89.4</v>
      </c>
      <c r="AA182">
        <v>3.9</v>
      </c>
      <c r="AB182">
        <f t="shared" si="11"/>
        <v>860492.48584030743</v>
      </c>
    </row>
    <row r="183" spans="1:28">
      <c r="A183" t="s">
        <v>67</v>
      </c>
      <c r="B183" s="2">
        <v>45689</v>
      </c>
      <c r="C183" t="s">
        <v>27</v>
      </c>
      <c r="D183">
        <f t="shared" si="8"/>
        <v>0</v>
      </c>
      <c r="E183">
        <f t="shared" si="9"/>
        <v>0</v>
      </c>
      <c r="F183">
        <f t="shared" si="10"/>
        <v>1</v>
      </c>
      <c r="G183" t="s">
        <v>16</v>
      </c>
      <c r="H183">
        <v>45209.25</v>
      </c>
      <c r="I183">
        <v>9287</v>
      </c>
      <c r="J183">
        <v>0.14099999999999999</v>
      </c>
      <c r="K183">
        <v>22</v>
      </c>
      <c r="L183">
        <v>86.4</v>
      </c>
      <c r="M183">
        <v>13.22</v>
      </c>
      <c r="N183">
        <v>0</v>
      </c>
      <c r="O183">
        <v>3.6</v>
      </c>
      <c r="P183">
        <v>751393.88</v>
      </c>
      <c r="Q183">
        <v>91480.320000000007</v>
      </c>
      <c r="U183">
        <v>0</v>
      </c>
      <c r="V183">
        <v>0</v>
      </c>
      <c r="W183">
        <v>1</v>
      </c>
      <c r="X183">
        <v>45209.25</v>
      </c>
      <c r="Y183">
        <v>9287</v>
      </c>
      <c r="Z183">
        <v>86.4</v>
      </c>
      <c r="AA183">
        <v>3.6</v>
      </c>
      <c r="AB183">
        <f t="shared" si="11"/>
        <v>757085.01722403814</v>
      </c>
    </row>
    <row r="184" spans="1:28">
      <c r="A184" t="s">
        <v>67</v>
      </c>
      <c r="B184" s="2">
        <v>45717</v>
      </c>
      <c r="C184" t="s">
        <v>27</v>
      </c>
      <c r="D184">
        <f t="shared" si="8"/>
        <v>0</v>
      </c>
      <c r="E184">
        <f t="shared" si="9"/>
        <v>0</v>
      </c>
      <c r="F184">
        <f t="shared" si="10"/>
        <v>1</v>
      </c>
      <c r="G184" t="s">
        <v>16</v>
      </c>
      <c r="H184">
        <v>63010.23</v>
      </c>
      <c r="I184">
        <v>9812</v>
      </c>
      <c r="J184">
        <v>0.113</v>
      </c>
      <c r="K184">
        <v>24</v>
      </c>
      <c r="L184">
        <v>76.8</v>
      </c>
      <c r="M184">
        <v>1.02</v>
      </c>
      <c r="N184">
        <v>1</v>
      </c>
      <c r="O184">
        <v>3.8</v>
      </c>
      <c r="P184">
        <v>761077.08</v>
      </c>
      <c r="Q184">
        <v>113605.93</v>
      </c>
      <c r="U184">
        <v>0</v>
      </c>
      <c r="V184">
        <v>0</v>
      </c>
      <c r="W184">
        <v>1</v>
      </c>
      <c r="X184">
        <v>63010.23</v>
      </c>
      <c r="Y184">
        <v>9812</v>
      </c>
      <c r="Z184">
        <v>76.8</v>
      </c>
      <c r="AA184">
        <v>3.8</v>
      </c>
      <c r="AB184">
        <f t="shared" si="11"/>
        <v>770820.74120499648</v>
      </c>
    </row>
    <row r="185" spans="1:28">
      <c r="A185" t="s">
        <v>67</v>
      </c>
      <c r="B185" s="2">
        <v>45748</v>
      </c>
      <c r="C185" t="s">
        <v>27</v>
      </c>
      <c r="D185">
        <f t="shared" si="8"/>
        <v>0</v>
      </c>
      <c r="E185">
        <f t="shared" si="9"/>
        <v>0</v>
      </c>
      <c r="F185">
        <f t="shared" si="10"/>
        <v>1</v>
      </c>
      <c r="G185" t="s">
        <v>16</v>
      </c>
      <c r="H185">
        <v>57948.88</v>
      </c>
      <c r="I185">
        <v>10741</v>
      </c>
      <c r="J185">
        <v>7.0000000000000007E-2</v>
      </c>
      <c r="K185">
        <v>25</v>
      </c>
      <c r="L185">
        <v>90.1</v>
      </c>
      <c r="M185">
        <v>4.03</v>
      </c>
      <c r="N185">
        <v>0</v>
      </c>
      <c r="O185">
        <v>3.1</v>
      </c>
      <c r="P185">
        <v>819660.59</v>
      </c>
      <c r="Q185">
        <v>172699.95</v>
      </c>
      <c r="U185">
        <v>0</v>
      </c>
      <c r="V185">
        <v>0</v>
      </c>
      <c r="W185">
        <v>1</v>
      </c>
      <c r="X185">
        <v>57948.88</v>
      </c>
      <c r="Y185">
        <v>10741</v>
      </c>
      <c r="Z185">
        <v>90.1</v>
      </c>
      <c r="AA185">
        <v>3.1</v>
      </c>
      <c r="AB185">
        <f t="shared" si="11"/>
        <v>826983.06732274883</v>
      </c>
    </row>
    <row r="186" spans="1:28">
      <c r="A186" t="s">
        <v>68</v>
      </c>
      <c r="B186" s="2">
        <v>45658</v>
      </c>
      <c r="C186" t="s">
        <v>20</v>
      </c>
      <c r="D186">
        <f t="shared" si="8"/>
        <v>1</v>
      </c>
      <c r="E186">
        <f t="shared" si="9"/>
        <v>0</v>
      </c>
      <c r="F186">
        <f t="shared" si="10"/>
        <v>0</v>
      </c>
      <c r="G186" t="s">
        <v>18</v>
      </c>
      <c r="H186">
        <v>71941.62</v>
      </c>
      <c r="I186">
        <v>6084</v>
      </c>
      <c r="J186">
        <v>7.1999999999999995E-2</v>
      </c>
      <c r="K186">
        <v>13</v>
      </c>
      <c r="L186">
        <v>93.7</v>
      </c>
      <c r="M186">
        <v>2.34</v>
      </c>
      <c r="N186">
        <v>0</v>
      </c>
      <c r="O186">
        <v>4.4000000000000004</v>
      </c>
      <c r="P186">
        <v>681855.56</v>
      </c>
      <c r="Q186">
        <v>117645.61</v>
      </c>
      <c r="U186">
        <v>1</v>
      </c>
      <c r="V186">
        <v>0</v>
      </c>
      <c r="W186">
        <v>0</v>
      </c>
      <c r="X186">
        <v>71941.62</v>
      </c>
      <c r="Y186">
        <v>6084</v>
      </c>
      <c r="Z186">
        <v>93.7</v>
      </c>
      <c r="AA186">
        <v>4.4000000000000004</v>
      </c>
      <c r="AB186">
        <f t="shared" si="11"/>
        <v>701890.50545582909</v>
      </c>
    </row>
    <row r="187" spans="1:28">
      <c r="A187" t="s">
        <v>68</v>
      </c>
      <c r="B187" s="2">
        <v>45689</v>
      </c>
      <c r="C187" t="s">
        <v>20</v>
      </c>
      <c r="D187">
        <f t="shared" si="8"/>
        <v>1</v>
      </c>
      <c r="E187">
        <f t="shared" si="9"/>
        <v>0</v>
      </c>
      <c r="F187">
        <f t="shared" si="10"/>
        <v>0</v>
      </c>
      <c r="G187" t="s">
        <v>18</v>
      </c>
      <c r="H187">
        <v>57147.88</v>
      </c>
      <c r="I187">
        <v>5252</v>
      </c>
      <c r="J187">
        <v>0.161</v>
      </c>
      <c r="K187">
        <v>15</v>
      </c>
      <c r="L187">
        <v>95.5</v>
      </c>
      <c r="M187">
        <v>8.51</v>
      </c>
      <c r="N187">
        <v>0</v>
      </c>
      <c r="O187">
        <v>4.4000000000000004</v>
      </c>
      <c r="P187">
        <v>678311.17</v>
      </c>
      <c r="Q187">
        <v>132029.76000000001</v>
      </c>
      <c r="U187">
        <v>1</v>
      </c>
      <c r="V187">
        <v>0</v>
      </c>
      <c r="W187">
        <v>0</v>
      </c>
      <c r="X187">
        <v>57147.88</v>
      </c>
      <c r="Y187">
        <v>5252</v>
      </c>
      <c r="Z187">
        <v>95.5</v>
      </c>
      <c r="AA187">
        <v>4.4000000000000004</v>
      </c>
      <c r="AB187">
        <f t="shared" si="11"/>
        <v>661025.60674940294</v>
      </c>
    </row>
    <row r="188" spans="1:28">
      <c r="A188" t="s">
        <v>68</v>
      </c>
      <c r="B188" s="2">
        <v>45717</v>
      </c>
      <c r="C188" t="s">
        <v>20</v>
      </c>
      <c r="D188">
        <f t="shared" si="8"/>
        <v>1</v>
      </c>
      <c r="E188">
        <f t="shared" si="9"/>
        <v>0</v>
      </c>
      <c r="F188">
        <f t="shared" si="10"/>
        <v>0</v>
      </c>
      <c r="G188" t="s">
        <v>18</v>
      </c>
      <c r="H188">
        <v>48031.74</v>
      </c>
      <c r="I188">
        <v>6516</v>
      </c>
      <c r="J188">
        <v>6.7000000000000004E-2</v>
      </c>
      <c r="K188">
        <v>14</v>
      </c>
      <c r="L188">
        <v>99</v>
      </c>
      <c r="M188">
        <v>0.48</v>
      </c>
      <c r="N188">
        <v>1</v>
      </c>
      <c r="O188">
        <v>4.3</v>
      </c>
      <c r="P188">
        <v>765906.95</v>
      </c>
      <c r="Q188">
        <v>114005.9</v>
      </c>
      <c r="U188">
        <v>1</v>
      </c>
      <c r="V188">
        <v>0</v>
      </c>
      <c r="W188">
        <v>0</v>
      </c>
      <c r="X188">
        <v>48031.74</v>
      </c>
      <c r="Y188">
        <v>6516</v>
      </c>
      <c r="Z188">
        <v>99</v>
      </c>
      <c r="AA188">
        <v>4.3</v>
      </c>
      <c r="AB188">
        <f t="shared" si="11"/>
        <v>702022.68698843417</v>
      </c>
    </row>
    <row r="189" spans="1:28">
      <c r="A189" t="s">
        <v>68</v>
      </c>
      <c r="B189" s="2">
        <v>45748</v>
      </c>
      <c r="C189" t="s">
        <v>20</v>
      </c>
      <c r="D189">
        <f t="shared" si="8"/>
        <v>1</v>
      </c>
      <c r="E189">
        <f t="shared" si="9"/>
        <v>0</v>
      </c>
      <c r="F189">
        <f t="shared" si="10"/>
        <v>0</v>
      </c>
      <c r="G189" t="s">
        <v>18</v>
      </c>
      <c r="H189">
        <v>72784.800000000003</v>
      </c>
      <c r="I189">
        <v>7932</v>
      </c>
      <c r="J189">
        <v>9.4E-2</v>
      </c>
      <c r="K189">
        <v>20</v>
      </c>
      <c r="L189">
        <v>74.900000000000006</v>
      </c>
      <c r="M189">
        <v>13.62</v>
      </c>
      <c r="N189">
        <v>0</v>
      </c>
      <c r="O189">
        <v>4.2</v>
      </c>
      <c r="P189">
        <v>712546.38</v>
      </c>
      <c r="Q189">
        <v>101480.04</v>
      </c>
      <c r="U189">
        <v>1</v>
      </c>
      <c r="V189">
        <v>0</v>
      </c>
      <c r="W189">
        <v>0</v>
      </c>
      <c r="X189">
        <v>72784.800000000003</v>
      </c>
      <c r="Y189">
        <v>7932</v>
      </c>
      <c r="Z189">
        <v>74.900000000000006</v>
      </c>
      <c r="AA189">
        <v>4.2</v>
      </c>
      <c r="AB189">
        <f t="shared" si="11"/>
        <v>709231.53392644483</v>
      </c>
    </row>
    <row r="190" spans="1:28">
      <c r="A190" t="s">
        <v>69</v>
      </c>
      <c r="B190" s="2">
        <v>45658</v>
      </c>
      <c r="C190" t="s">
        <v>15</v>
      </c>
      <c r="D190">
        <f t="shared" si="8"/>
        <v>0</v>
      </c>
      <c r="E190">
        <f t="shared" si="9"/>
        <v>0</v>
      </c>
      <c r="F190">
        <f t="shared" si="10"/>
        <v>0</v>
      </c>
      <c r="G190" t="s">
        <v>18</v>
      </c>
      <c r="H190">
        <v>71641.899999999994</v>
      </c>
      <c r="I190">
        <v>3506</v>
      </c>
      <c r="J190">
        <v>0</v>
      </c>
      <c r="K190">
        <v>11</v>
      </c>
      <c r="L190">
        <v>86.4</v>
      </c>
      <c r="M190">
        <v>7.77</v>
      </c>
      <c r="N190">
        <v>0</v>
      </c>
      <c r="O190">
        <v>4.0999999999999996</v>
      </c>
      <c r="P190">
        <v>625993.82999999996</v>
      </c>
      <c r="Q190">
        <v>98960.320000000007</v>
      </c>
      <c r="U190">
        <v>0</v>
      </c>
      <c r="V190">
        <v>0</v>
      </c>
      <c r="W190">
        <v>0</v>
      </c>
      <c r="X190">
        <v>71641.899999999994</v>
      </c>
      <c r="Y190">
        <v>3506</v>
      </c>
      <c r="Z190">
        <v>86.4</v>
      </c>
      <c r="AA190">
        <v>4.0999999999999996</v>
      </c>
      <c r="AB190">
        <f t="shared" si="11"/>
        <v>580870.96348123439</v>
      </c>
    </row>
    <row r="191" spans="1:28">
      <c r="A191" t="s">
        <v>69</v>
      </c>
      <c r="B191" s="2">
        <v>45689</v>
      </c>
      <c r="C191" t="s">
        <v>15</v>
      </c>
      <c r="D191">
        <f t="shared" si="8"/>
        <v>0</v>
      </c>
      <c r="E191">
        <f t="shared" si="9"/>
        <v>0</v>
      </c>
      <c r="F191">
        <f t="shared" si="10"/>
        <v>0</v>
      </c>
      <c r="G191" t="s">
        <v>18</v>
      </c>
      <c r="H191">
        <v>55788.61</v>
      </c>
      <c r="I191">
        <v>2312</v>
      </c>
      <c r="J191">
        <v>5.8000000000000003E-2</v>
      </c>
      <c r="K191">
        <v>10</v>
      </c>
      <c r="L191">
        <v>91.3</v>
      </c>
      <c r="M191">
        <v>1.99</v>
      </c>
      <c r="N191">
        <v>0</v>
      </c>
      <c r="O191">
        <v>3.8</v>
      </c>
      <c r="P191">
        <v>550962.93000000005</v>
      </c>
      <c r="Q191">
        <v>97144.58</v>
      </c>
      <c r="U191">
        <v>0</v>
      </c>
      <c r="V191">
        <v>0</v>
      </c>
      <c r="W191">
        <v>0</v>
      </c>
      <c r="X191">
        <v>55788.61</v>
      </c>
      <c r="Y191">
        <v>2312</v>
      </c>
      <c r="Z191">
        <v>91.3</v>
      </c>
      <c r="AA191">
        <v>3.8</v>
      </c>
      <c r="AB191">
        <f t="shared" si="11"/>
        <v>532071.27557240741</v>
      </c>
    </row>
    <row r="192" spans="1:28">
      <c r="A192" t="s">
        <v>69</v>
      </c>
      <c r="B192" s="2">
        <v>45717</v>
      </c>
      <c r="C192" t="s">
        <v>15</v>
      </c>
      <c r="D192">
        <f t="shared" si="8"/>
        <v>0</v>
      </c>
      <c r="E192">
        <f t="shared" si="9"/>
        <v>0</v>
      </c>
      <c r="F192">
        <f t="shared" si="10"/>
        <v>0</v>
      </c>
      <c r="G192" t="s">
        <v>18</v>
      </c>
      <c r="H192">
        <v>37705.879999999997</v>
      </c>
      <c r="I192">
        <v>1268</v>
      </c>
      <c r="J192">
        <v>0.25900000000000001</v>
      </c>
      <c r="K192">
        <v>9</v>
      </c>
      <c r="L192">
        <v>84.1</v>
      </c>
      <c r="M192">
        <v>4.7699999999999996</v>
      </c>
      <c r="N192">
        <v>0</v>
      </c>
      <c r="O192">
        <v>3.8</v>
      </c>
      <c r="P192">
        <v>443275.59</v>
      </c>
      <c r="Q192">
        <v>53544.36</v>
      </c>
      <c r="U192">
        <v>0</v>
      </c>
      <c r="V192">
        <v>0</v>
      </c>
      <c r="W192">
        <v>0</v>
      </c>
      <c r="X192">
        <v>37705.879999999997</v>
      </c>
      <c r="Y192">
        <v>1268</v>
      </c>
      <c r="Z192">
        <v>84.1</v>
      </c>
      <c r="AA192">
        <v>3.8</v>
      </c>
      <c r="AB192">
        <f t="shared" si="11"/>
        <v>454066.83707069088</v>
      </c>
    </row>
    <row r="193" spans="1:28">
      <c r="A193" t="s">
        <v>69</v>
      </c>
      <c r="B193" s="2">
        <v>45748</v>
      </c>
      <c r="C193" t="s">
        <v>15</v>
      </c>
      <c r="D193">
        <f t="shared" si="8"/>
        <v>0</v>
      </c>
      <c r="E193">
        <f t="shared" si="9"/>
        <v>0</v>
      </c>
      <c r="F193">
        <f t="shared" si="10"/>
        <v>0</v>
      </c>
      <c r="G193" t="s">
        <v>18</v>
      </c>
      <c r="H193">
        <v>54966.18</v>
      </c>
      <c r="I193">
        <v>4423</v>
      </c>
      <c r="J193">
        <v>0.186</v>
      </c>
      <c r="K193">
        <v>13</v>
      </c>
      <c r="L193">
        <v>88.7</v>
      </c>
      <c r="M193">
        <v>0.2</v>
      </c>
      <c r="N193">
        <v>0</v>
      </c>
      <c r="O193">
        <v>4.4000000000000004</v>
      </c>
      <c r="P193">
        <v>554012.06999999995</v>
      </c>
      <c r="Q193">
        <v>81101.62</v>
      </c>
      <c r="U193">
        <v>0</v>
      </c>
      <c r="V193">
        <v>0</v>
      </c>
      <c r="W193">
        <v>0</v>
      </c>
      <c r="X193">
        <v>54966.18</v>
      </c>
      <c r="Y193">
        <v>4423</v>
      </c>
      <c r="Z193">
        <v>88.7</v>
      </c>
      <c r="AA193">
        <v>4.4000000000000004</v>
      </c>
      <c r="AB193">
        <f t="shared" si="11"/>
        <v>601932.73950061365</v>
      </c>
    </row>
    <row r="194" spans="1:28">
      <c r="A194" t="s">
        <v>70</v>
      </c>
      <c r="B194" s="2">
        <v>45658</v>
      </c>
      <c r="C194" t="s">
        <v>27</v>
      </c>
      <c r="D194">
        <f t="shared" si="8"/>
        <v>0</v>
      </c>
      <c r="E194">
        <f t="shared" si="9"/>
        <v>0</v>
      </c>
      <c r="F194">
        <f t="shared" si="10"/>
        <v>1</v>
      </c>
      <c r="G194" t="s">
        <v>16</v>
      </c>
      <c r="H194">
        <v>81796.740000000005</v>
      </c>
      <c r="I194">
        <v>6177</v>
      </c>
      <c r="J194">
        <v>0.16400000000000001</v>
      </c>
      <c r="K194">
        <v>14</v>
      </c>
      <c r="L194">
        <v>87.9</v>
      </c>
      <c r="M194">
        <v>0.53</v>
      </c>
      <c r="N194">
        <v>0</v>
      </c>
      <c r="O194">
        <v>3.2</v>
      </c>
      <c r="P194">
        <v>643428.85</v>
      </c>
      <c r="Q194">
        <v>94477.63</v>
      </c>
      <c r="U194">
        <v>0</v>
      </c>
      <c r="V194">
        <v>0</v>
      </c>
      <c r="W194">
        <v>1</v>
      </c>
      <c r="X194">
        <v>81796.740000000005</v>
      </c>
      <c r="Y194">
        <v>6177</v>
      </c>
      <c r="Z194">
        <v>87.9</v>
      </c>
      <c r="AA194">
        <v>3.2</v>
      </c>
      <c r="AB194">
        <f t="shared" si="11"/>
        <v>695302.2503834042</v>
      </c>
    </row>
    <row r="195" spans="1:28">
      <c r="A195" t="s">
        <v>70</v>
      </c>
      <c r="B195" s="2">
        <v>45689</v>
      </c>
      <c r="C195" t="s">
        <v>27</v>
      </c>
      <c r="D195">
        <f t="shared" ref="D195:D258" si="12">IF(C195="North",1,0)</f>
        <v>0</v>
      </c>
      <c r="E195">
        <f t="shared" ref="E195:E258" si="13">IF(C195="South",1,0)</f>
        <v>0</v>
      </c>
      <c r="F195">
        <f t="shared" ref="F195:F258" si="14">IF(C195="West",1,0)</f>
        <v>1</v>
      </c>
      <c r="G195" t="s">
        <v>16</v>
      </c>
      <c r="H195">
        <v>51133.43</v>
      </c>
      <c r="I195">
        <v>5150</v>
      </c>
      <c r="J195">
        <v>0.15</v>
      </c>
      <c r="K195">
        <v>12</v>
      </c>
      <c r="L195">
        <v>88.5</v>
      </c>
      <c r="M195">
        <v>1.54</v>
      </c>
      <c r="N195">
        <v>0</v>
      </c>
      <c r="O195">
        <v>3.2</v>
      </c>
      <c r="P195">
        <v>611924.27</v>
      </c>
      <c r="Q195">
        <v>115488.75</v>
      </c>
      <c r="U195">
        <v>0</v>
      </c>
      <c r="V195">
        <v>0</v>
      </c>
      <c r="W195">
        <v>1</v>
      </c>
      <c r="X195">
        <v>51133.43</v>
      </c>
      <c r="Y195">
        <v>5150</v>
      </c>
      <c r="Z195">
        <v>88.5</v>
      </c>
      <c r="AA195">
        <v>3.2</v>
      </c>
      <c r="AB195">
        <f t="shared" ref="AB195:AB258" si="15">80972.67194
+(8667.122801*U195)
+(21972.42005*V195)
+(17042.83335*W195)
+(1.202273376*X195)
+(33.98425653*Y195)
+(2886.7347*Z195)
+(11024.99051*AA195)</f>
        <v>625266.77851405973</v>
      </c>
    </row>
    <row r="196" spans="1:28">
      <c r="A196" t="s">
        <v>70</v>
      </c>
      <c r="B196" s="2">
        <v>45717</v>
      </c>
      <c r="C196" t="s">
        <v>27</v>
      </c>
      <c r="D196">
        <f t="shared" si="12"/>
        <v>0</v>
      </c>
      <c r="E196">
        <f t="shared" si="13"/>
        <v>0</v>
      </c>
      <c r="F196">
        <f t="shared" si="14"/>
        <v>1</v>
      </c>
      <c r="G196" t="s">
        <v>16</v>
      </c>
      <c r="H196">
        <v>40220.18</v>
      </c>
      <c r="I196">
        <v>3783</v>
      </c>
      <c r="J196">
        <v>8.8999999999999996E-2</v>
      </c>
      <c r="K196">
        <v>14</v>
      </c>
      <c r="L196">
        <v>86.6</v>
      </c>
      <c r="M196">
        <v>3.63</v>
      </c>
      <c r="N196">
        <v>0</v>
      </c>
      <c r="O196">
        <v>3.7</v>
      </c>
      <c r="P196">
        <v>559422.02</v>
      </c>
      <c r="Q196">
        <v>73528.740000000005</v>
      </c>
      <c r="U196">
        <v>0</v>
      </c>
      <c r="V196">
        <v>0</v>
      </c>
      <c r="W196">
        <v>1</v>
      </c>
      <c r="X196">
        <v>40220.18</v>
      </c>
      <c r="Y196">
        <v>3783</v>
      </c>
      <c r="Z196">
        <v>86.6</v>
      </c>
      <c r="AA196">
        <v>3.7</v>
      </c>
      <c r="AB196">
        <f t="shared" si="15"/>
        <v>565717.28924191778</v>
      </c>
    </row>
    <row r="197" spans="1:28">
      <c r="A197" t="s">
        <v>70</v>
      </c>
      <c r="B197" s="2">
        <v>45748</v>
      </c>
      <c r="C197" t="s">
        <v>27</v>
      </c>
      <c r="D197">
        <f t="shared" si="12"/>
        <v>0</v>
      </c>
      <c r="E197">
        <f t="shared" si="13"/>
        <v>0</v>
      </c>
      <c r="F197">
        <f t="shared" si="14"/>
        <v>1</v>
      </c>
      <c r="G197" t="s">
        <v>16</v>
      </c>
      <c r="H197">
        <v>41657.64</v>
      </c>
      <c r="I197">
        <v>3135</v>
      </c>
      <c r="J197">
        <v>0.22900000000000001</v>
      </c>
      <c r="K197">
        <v>7</v>
      </c>
      <c r="L197">
        <v>85.4</v>
      </c>
      <c r="M197">
        <v>13.48</v>
      </c>
      <c r="N197">
        <v>0</v>
      </c>
      <c r="O197">
        <v>3.92</v>
      </c>
      <c r="P197">
        <v>449465.06</v>
      </c>
      <c r="Q197">
        <v>65694.78</v>
      </c>
      <c r="U197">
        <v>0</v>
      </c>
      <c r="V197">
        <v>0</v>
      </c>
      <c r="W197">
        <v>1</v>
      </c>
      <c r="X197">
        <v>41657.64</v>
      </c>
      <c r="Y197">
        <v>3135</v>
      </c>
      <c r="Z197">
        <v>85.4</v>
      </c>
      <c r="AA197">
        <v>3.92</v>
      </c>
      <c r="AB197">
        <f t="shared" si="15"/>
        <v>544385.12716974271</v>
      </c>
    </row>
    <row r="198" spans="1:28">
      <c r="A198" t="s">
        <v>71</v>
      </c>
      <c r="B198" s="2">
        <v>45658</v>
      </c>
      <c r="C198" t="s">
        <v>20</v>
      </c>
      <c r="D198">
        <f t="shared" si="12"/>
        <v>1</v>
      </c>
      <c r="E198">
        <f t="shared" si="13"/>
        <v>0</v>
      </c>
      <c r="F198">
        <f t="shared" si="14"/>
        <v>0</v>
      </c>
      <c r="G198" t="s">
        <v>16</v>
      </c>
      <c r="H198">
        <v>71851.45</v>
      </c>
      <c r="I198">
        <v>4970</v>
      </c>
      <c r="J198">
        <v>9.8000000000000004E-2</v>
      </c>
      <c r="K198">
        <v>11</v>
      </c>
      <c r="L198">
        <v>89.6</v>
      </c>
      <c r="M198">
        <v>0.2</v>
      </c>
      <c r="N198">
        <v>0</v>
      </c>
      <c r="O198">
        <v>4.2</v>
      </c>
      <c r="P198">
        <v>691447.43</v>
      </c>
      <c r="Q198">
        <v>114077.69</v>
      </c>
      <c r="U198">
        <v>1</v>
      </c>
      <c r="V198">
        <v>0</v>
      </c>
      <c r="W198">
        <v>0</v>
      </c>
      <c r="X198">
        <v>71851.45</v>
      </c>
      <c r="Y198">
        <v>4970</v>
      </c>
      <c r="Z198">
        <v>89.6</v>
      </c>
      <c r="AA198">
        <v>4.2</v>
      </c>
      <c r="AB198">
        <f t="shared" si="15"/>
        <v>649883.02431909519</v>
      </c>
    </row>
    <row r="199" spans="1:28">
      <c r="A199" t="s">
        <v>71</v>
      </c>
      <c r="B199" s="2">
        <v>45689</v>
      </c>
      <c r="C199" t="s">
        <v>20</v>
      </c>
      <c r="D199">
        <f t="shared" si="12"/>
        <v>1</v>
      </c>
      <c r="E199">
        <f t="shared" si="13"/>
        <v>0</v>
      </c>
      <c r="F199">
        <f t="shared" si="14"/>
        <v>0</v>
      </c>
      <c r="G199" t="s">
        <v>16</v>
      </c>
      <c r="H199">
        <v>54002.83</v>
      </c>
      <c r="I199">
        <v>4366</v>
      </c>
      <c r="J199">
        <v>2.7E-2</v>
      </c>
      <c r="K199">
        <v>15</v>
      </c>
      <c r="L199">
        <v>90.6</v>
      </c>
      <c r="M199">
        <v>12.82</v>
      </c>
      <c r="N199">
        <v>0</v>
      </c>
      <c r="O199">
        <v>4.5999999999999996</v>
      </c>
      <c r="P199">
        <v>574066.61</v>
      </c>
      <c r="Q199">
        <v>124674.67</v>
      </c>
      <c r="U199">
        <v>1</v>
      </c>
      <c r="V199">
        <v>0</v>
      </c>
      <c r="W199">
        <v>0</v>
      </c>
      <c r="X199">
        <v>54002.83</v>
      </c>
      <c r="Y199">
        <v>4366</v>
      </c>
      <c r="Z199">
        <v>90.6</v>
      </c>
      <c r="AA199">
        <v>4.5999999999999996</v>
      </c>
      <c r="AB199">
        <f t="shared" si="15"/>
        <v>615194.34365463408</v>
      </c>
    </row>
    <row r="200" spans="1:28">
      <c r="A200" t="s">
        <v>71</v>
      </c>
      <c r="B200" s="2">
        <v>45717</v>
      </c>
      <c r="C200" t="s">
        <v>20</v>
      </c>
      <c r="D200">
        <f t="shared" si="12"/>
        <v>1</v>
      </c>
      <c r="E200">
        <f t="shared" si="13"/>
        <v>0</v>
      </c>
      <c r="F200">
        <f t="shared" si="14"/>
        <v>0</v>
      </c>
      <c r="G200" t="s">
        <v>16</v>
      </c>
      <c r="H200">
        <v>54479.33</v>
      </c>
      <c r="I200">
        <v>5012</v>
      </c>
      <c r="J200">
        <v>0.28399999999999997</v>
      </c>
      <c r="K200">
        <v>13</v>
      </c>
      <c r="L200">
        <v>86</v>
      </c>
      <c r="M200">
        <v>2.2400000000000002</v>
      </c>
      <c r="N200">
        <v>1</v>
      </c>
      <c r="O200">
        <v>4.3</v>
      </c>
      <c r="P200">
        <v>578949.84</v>
      </c>
      <c r="Q200">
        <v>80253.649999999994</v>
      </c>
      <c r="U200">
        <v>1</v>
      </c>
      <c r="V200">
        <v>0</v>
      </c>
      <c r="W200">
        <v>0</v>
      </c>
      <c r="X200">
        <v>54479.33</v>
      </c>
      <c r="Y200">
        <v>5012</v>
      </c>
      <c r="Z200">
        <v>86</v>
      </c>
      <c r="AA200">
        <v>4.3</v>
      </c>
      <c r="AB200">
        <f t="shared" si="15"/>
        <v>621134.57986367808</v>
      </c>
    </row>
    <row r="201" spans="1:28">
      <c r="A201" t="s">
        <v>71</v>
      </c>
      <c r="B201" s="2">
        <v>45748</v>
      </c>
      <c r="C201" t="s">
        <v>20</v>
      </c>
      <c r="D201">
        <f t="shared" si="12"/>
        <v>1</v>
      </c>
      <c r="E201">
        <f t="shared" si="13"/>
        <v>0</v>
      </c>
      <c r="F201">
        <f t="shared" si="14"/>
        <v>0</v>
      </c>
      <c r="G201" t="s">
        <v>16</v>
      </c>
      <c r="H201">
        <v>61391.8</v>
      </c>
      <c r="I201">
        <v>5575</v>
      </c>
      <c r="J201">
        <v>0.189</v>
      </c>
      <c r="K201">
        <v>18</v>
      </c>
      <c r="L201">
        <v>90</v>
      </c>
      <c r="M201">
        <v>1.8</v>
      </c>
      <c r="N201">
        <v>0</v>
      </c>
      <c r="O201">
        <v>4.8</v>
      </c>
      <c r="P201">
        <v>735786.64</v>
      </c>
      <c r="Q201">
        <v>126540.66</v>
      </c>
      <c r="U201">
        <v>1</v>
      </c>
      <c r="V201">
        <v>0</v>
      </c>
      <c r="W201">
        <v>0</v>
      </c>
      <c r="X201">
        <v>61391.8</v>
      </c>
      <c r="Y201">
        <v>5575</v>
      </c>
      <c r="Z201">
        <v>90</v>
      </c>
      <c r="AA201">
        <v>4.8</v>
      </c>
      <c r="AB201">
        <f t="shared" si="15"/>
        <v>665637.82898846676</v>
      </c>
    </row>
    <row r="202" spans="1:28">
      <c r="A202" t="s">
        <v>72</v>
      </c>
      <c r="B202" s="2">
        <v>45658</v>
      </c>
      <c r="C202" t="s">
        <v>15</v>
      </c>
      <c r="D202">
        <f t="shared" si="12"/>
        <v>0</v>
      </c>
      <c r="E202">
        <f t="shared" si="13"/>
        <v>0</v>
      </c>
      <c r="F202">
        <f t="shared" si="14"/>
        <v>0</v>
      </c>
      <c r="G202" t="s">
        <v>21</v>
      </c>
      <c r="H202">
        <v>22312.93</v>
      </c>
      <c r="I202">
        <v>5955</v>
      </c>
      <c r="J202">
        <v>0.123</v>
      </c>
      <c r="K202">
        <v>13</v>
      </c>
      <c r="L202">
        <v>84.2</v>
      </c>
      <c r="M202">
        <v>0.41</v>
      </c>
      <c r="N202">
        <v>1</v>
      </c>
      <c r="O202">
        <v>4.5999999999999996</v>
      </c>
      <c r="P202">
        <v>598904.9</v>
      </c>
      <c r="Q202">
        <v>72861</v>
      </c>
      <c r="U202">
        <v>0</v>
      </c>
      <c r="V202">
        <v>0</v>
      </c>
      <c r="W202">
        <v>0</v>
      </c>
      <c r="X202">
        <v>22312.93</v>
      </c>
      <c r="Y202">
        <v>5955</v>
      </c>
      <c r="Z202">
        <v>84.2</v>
      </c>
      <c r="AA202">
        <v>4.5999999999999996</v>
      </c>
      <c r="AB202">
        <f t="shared" si="15"/>
        <v>603953.17934170167</v>
      </c>
    </row>
    <row r="203" spans="1:28">
      <c r="A203" t="s">
        <v>72</v>
      </c>
      <c r="B203" s="2">
        <v>45689</v>
      </c>
      <c r="C203" t="s">
        <v>15</v>
      </c>
      <c r="D203">
        <f t="shared" si="12"/>
        <v>0</v>
      </c>
      <c r="E203">
        <f t="shared" si="13"/>
        <v>0</v>
      </c>
      <c r="F203">
        <f t="shared" si="14"/>
        <v>0</v>
      </c>
      <c r="G203" t="s">
        <v>21</v>
      </c>
      <c r="H203">
        <v>78111.97</v>
      </c>
      <c r="I203">
        <v>6389</v>
      </c>
      <c r="J203">
        <v>0.15</v>
      </c>
      <c r="K203">
        <v>13</v>
      </c>
      <c r="L203">
        <v>83.9</v>
      </c>
      <c r="M203">
        <v>3.05</v>
      </c>
      <c r="N203">
        <v>0</v>
      </c>
      <c r="O203">
        <v>4.8</v>
      </c>
      <c r="P203">
        <v>787715.51</v>
      </c>
      <c r="Q203">
        <v>128969.62</v>
      </c>
      <c r="U203">
        <v>0</v>
      </c>
      <c r="V203">
        <v>0</v>
      </c>
      <c r="W203">
        <v>0</v>
      </c>
      <c r="X203">
        <v>78111.97</v>
      </c>
      <c r="Y203">
        <v>6389</v>
      </c>
      <c r="Z203">
        <v>83.9</v>
      </c>
      <c r="AA203">
        <v>4.8</v>
      </c>
      <c r="AB203">
        <f t="shared" si="15"/>
        <v>687127.02456608065</v>
      </c>
    </row>
    <row r="204" spans="1:28">
      <c r="A204" t="s">
        <v>72</v>
      </c>
      <c r="B204" s="2">
        <v>45717</v>
      </c>
      <c r="C204" t="s">
        <v>15</v>
      </c>
      <c r="D204">
        <f t="shared" si="12"/>
        <v>0</v>
      </c>
      <c r="E204">
        <f t="shared" si="13"/>
        <v>0</v>
      </c>
      <c r="F204">
        <f t="shared" si="14"/>
        <v>0</v>
      </c>
      <c r="G204" t="s">
        <v>21</v>
      </c>
      <c r="H204">
        <v>35203.230000000003</v>
      </c>
      <c r="I204">
        <v>6896</v>
      </c>
      <c r="J204">
        <v>3.2000000000000001E-2</v>
      </c>
      <c r="K204">
        <v>14</v>
      </c>
      <c r="L204">
        <v>80.8</v>
      </c>
      <c r="M204">
        <v>8.44</v>
      </c>
      <c r="N204">
        <v>1</v>
      </c>
      <c r="O204">
        <v>5</v>
      </c>
      <c r="P204">
        <v>607084.92000000004</v>
      </c>
      <c r="Q204">
        <v>98558.49</v>
      </c>
      <c r="U204">
        <v>0</v>
      </c>
      <c r="V204">
        <v>0</v>
      </c>
      <c r="W204">
        <v>0</v>
      </c>
      <c r="X204">
        <v>35203.230000000003</v>
      </c>
      <c r="Y204">
        <v>6896</v>
      </c>
      <c r="Z204">
        <v>80.8</v>
      </c>
      <c r="AA204">
        <v>5</v>
      </c>
      <c r="AB204">
        <f t="shared" si="15"/>
        <v>646025.12745908462</v>
      </c>
    </row>
    <row r="205" spans="1:28">
      <c r="A205" t="s">
        <v>72</v>
      </c>
      <c r="B205" s="2">
        <v>45748</v>
      </c>
      <c r="C205" t="s">
        <v>15</v>
      </c>
      <c r="D205">
        <f t="shared" si="12"/>
        <v>0</v>
      </c>
      <c r="E205">
        <f t="shared" si="13"/>
        <v>0</v>
      </c>
      <c r="F205">
        <f t="shared" si="14"/>
        <v>0</v>
      </c>
      <c r="G205" t="s">
        <v>21</v>
      </c>
      <c r="H205">
        <v>64104.28</v>
      </c>
      <c r="I205">
        <v>6015</v>
      </c>
      <c r="J205">
        <v>0.127</v>
      </c>
      <c r="K205">
        <v>15</v>
      </c>
      <c r="L205">
        <v>88.7</v>
      </c>
      <c r="M205">
        <v>0.78</v>
      </c>
      <c r="N205">
        <v>0</v>
      </c>
      <c r="O205">
        <v>4</v>
      </c>
      <c r="P205">
        <v>650795.49</v>
      </c>
      <c r="Q205">
        <v>103035.89</v>
      </c>
      <c r="U205">
        <v>0</v>
      </c>
      <c r="V205">
        <v>0</v>
      </c>
      <c r="W205">
        <v>0</v>
      </c>
      <c r="X205">
        <v>64104.28</v>
      </c>
      <c r="Y205">
        <v>6015</v>
      </c>
      <c r="Z205">
        <v>88.7</v>
      </c>
      <c r="AA205">
        <v>4</v>
      </c>
      <c r="AB205">
        <f t="shared" si="15"/>
        <v>662612.17402959929</v>
      </c>
    </row>
    <row r="206" spans="1:28">
      <c r="A206" t="s">
        <v>73</v>
      </c>
      <c r="B206" s="2">
        <v>45658</v>
      </c>
      <c r="C206" t="s">
        <v>15</v>
      </c>
      <c r="D206">
        <f t="shared" si="12"/>
        <v>0</v>
      </c>
      <c r="E206">
        <f t="shared" si="13"/>
        <v>0</v>
      </c>
      <c r="F206">
        <f t="shared" si="14"/>
        <v>0</v>
      </c>
      <c r="G206" t="s">
        <v>28</v>
      </c>
      <c r="H206">
        <v>92090.14</v>
      </c>
      <c r="I206">
        <v>9476</v>
      </c>
      <c r="J206">
        <v>7.0000000000000007E-2</v>
      </c>
      <c r="K206">
        <v>24</v>
      </c>
      <c r="L206">
        <v>94.3</v>
      </c>
      <c r="M206">
        <v>0.87</v>
      </c>
      <c r="N206">
        <v>0</v>
      </c>
      <c r="O206">
        <v>3.7</v>
      </c>
      <c r="P206">
        <v>825060.52</v>
      </c>
      <c r="Q206">
        <v>143613.15</v>
      </c>
      <c r="U206">
        <v>0</v>
      </c>
      <c r="V206">
        <v>0</v>
      </c>
      <c r="W206">
        <v>0</v>
      </c>
      <c r="X206">
        <v>92090.14</v>
      </c>
      <c r="Y206">
        <v>9476</v>
      </c>
      <c r="Z206">
        <v>94.3</v>
      </c>
      <c r="AA206">
        <v>3.7</v>
      </c>
      <c r="AB206">
        <f t="shared" si="15"/>
        <v>826736.55742939271</v>
      </c>
    </row>
    <row r="207" spans="1:28">
      <c r="A207" t="s">
        <v>73</v>
      </c>
      <c r="B207" s="2">
        <v>45689</v>
      </c>
      <c r="C207" t="s">
        <v>15</v>
      </c>
      <c r="D207">
        <f t="shared" si="12"/>
        <v>0</v>
      </c>
      <c r="E207">
        <f t="shared" si="13"/>
        <v>0</v>
      </c>
      <c r="F207">
        <f t="shared" si="14"/>
        <v>0</v>
      </c>
      <c r="G207" t="s">
        <v>28</v>
      </c>
      <c r="H207">
        <v>54300.87</v>
      </c>
      <c r="I207">
        <v>7875</v>
      </c>
      <c r="J207">
        <v>0.107</v>
      </c>
      <c r="K207">
        <v>19</v>
      </c>
      <c r="L207">
        <v>94.1</v>
      </c>
      <c r="M207">
        <v>0.95</v>
      </c>
      <c r="N207">
        <v>0</v>
      </c>
      <c r="O207">
        <v>3.7</v>
      </c>
      <c r="P207">
        <v>795464.47</v>
      </c>
      <c r="Q207">
        <v>161150.51999999999</v>
      </c>
      <c r="U207">
        <v>0</v>
      </c>
      <c r="V207">
        <v>0</v>
      </c>
      <c r="W207">
        <v>0</v>
      </c>
      <c r="X207">
        <v>54300.87</v>
      </c>
      <c r="Y207">
        <v>7875</v>
      </c>
      <c r="Z207">
        <v>94.1</v>
      </c>
      <c r="AA207">
        <v>3.7</v>
      </c>
      <c r="AB207">
        <f t="shared" si="15"/>
        <v>726317.38256538718</v>
      </c>
    </row>
    <row r="208" spans="1:28">
      <c r="A208" t="s">
        <v>73</v>
      </c>
      <c r="B208" s="2">
        <v>45717</v>
      </c>
      <c r="C208" t="s">
        <v>15</v>
      </c>
      <c r="D208">
        <f t="shared" si="12"/>
        <v>0</v>
      </c>
      <c r="E208">
        <f t="shared" si="13"/>
        <v>0</v>
      </c>
      <c r="F208">
        <f t="shared" si="14"/>
        <v>0</v>
      </c>
      <c r="G208" t="s">
        <v>28</v>
      </c>
      <c r="H208">
        <v>37983.35</v>
      </c>
      <c r="I208">
        <v>9283</v>
      </c>
      <c r="J208">
        <v>0.14899999999999999</v>
      </c>
      <c r="K208">
        <v>19</v>
      </c>
      <c r="L208">
        <v>83.2</v>
      </c>
      <c r="M208">
        <v>3.82</v>
      </c>
      <c r="N208">
        <v>0</v>
      </c>
      <c r="O208">
        <v>3.7</v>
      </c>
      <c r="P208">
        <v>671868.59</v>
      </c>
      <c r="Q208">
        <v>71003.28</v>
      </c>
      <c r="U208">
        <v>0</v>
      </c>
      <c r="V208">
        <v>0</v>
      </c>
      <c r="W208">
        <v>0</v>
      </c>
      <c r="X208">
        <v>37983.35</v>
      </c>
      <c r="Y208">
        <v>9283</v>
      </c>
      <c r="Z208">
        <v>83.2</v>
      </c>
      <c r="AA208">
        <v>3.7</v>
      </c>
      <c r="AB208">
        <f t="shared" si="15"/>
        <v>723083.68767127965</v>
      </c>
    </row>
    <row r="209" spans="1:28">
      <c r="A209" t="s">
        <v>73</v>
      </c>
      <c r="B209" s="2">
        <v>45748</v>
      </c>
      <c r="C209" t="s">
        <v>15</v>
      </c>
      <c r="D209">
        <f t="shared" si="12"/>
        <v>0</v>
      </c>
      <c r="E209">
        <f t="shared" si="13"/>
        <v>0</v>
      </c>
      <c r="F209">
        <f t="shared" si="14"/>
        <v>0</v>
      </c>
      <c r="G209" t="s">
        <v>28</v>
      </c>
      <c r="H209">
        <v>56413.83</v>
      </c>
      <c r="I209">
        <v>8303</v>
      </c>
      <c r="J209">
        <v>0.11600000000000001</v>
      </c>
      <c r="K209">
        <v>18</v>
      </c>
      <c r="L209">
        <v>93.6</v>
      </c>
      <c r="M209">
        <v>2.7</v>
      </c>
      <c r="N209">
        <v>0</v>
      </c>
      <c r="O209">
        <v>3.7</v>
      </c>
      <c r="P209">
        <v>675917.63</v>
      </c>
      <c r="Q209">
        <v>112564.75</v>
      </c>
      <c r="U209">
        <v>0</v>
      </c>
      <c r="V209">
        <v>0</v>
      </c>
      <c r="W209">
        <v>0</v>
      </c>
      <c r="X209">
        <v>56413.83</v>
      </c>
      <c r="Y209">
        <v>8303</v>
      </c>
      <c r="Z209">
        <v>93.6</v>
      </c>
      <c r="AA209">
        <v>3.7</v>
      </c>
      <c r="AB209">
        <f t="shared" si="15"/>
        <v>741959.63256278017</v>
      </c>
    </row>
    <row r="210" spans="1:28">
      <c r="A210" t="s">
        <v>74</v>
      </c>
      <c r="B210" s="2">
        <v>45658</v>
      </c>
      <c r="C210" t="s">
        <v>15</v>
      </c>
      <c r="D210">
        <f t="shared" si="12"/>
        <v>0</v>
      </c>
      <c r="E210">
        <f t="shared" si="13"/>
        <v>0</v>
      </c>
      <c r="F210">
        <f t="shared" si="14"/>
        <v>0</v>
      </c>
      <c r="G210" t="s">
        <v>18</v>
      </c>
      <c r="H210">
        <v>63457.19</v>
      </c>
      <c r="I210">
        <v>10125</v>
      </c>
      <c r="J210">
        <v>9.7000000000000003E-2</v>
      </c>
      <c r="K210">
        <v>24</v>
      </c>
      <c r="L210">
        <v>87</v>
      </c>
      <c r="M210">
        <v>3.84</v>
      </c>
      <c r="N210">
        <v>1</v>
      </c>
      <c r="O210">
        <v>3.7</v>
      </c>
      <c r="P210">
        <v>810446.53</v>
      </c>
      <c r="Q210">
        <v>200575.34</v>
      </c>
      <c r="U210">
        <v>0</v>
      </c>
      <c r="V210">
        <v>0</v>
      </c>
      <c r="W210">
        <v>0</v>
      </c>
      <c r="X210">
        <v>63457.19</v>
      </c>
      <c r="Y210">
        <v>10125</v>
      </c>
      <c r="Z210">
        <v>87</v>
      </c>
      <c r="AA210">
        <v>3.7</v>
      </c>
      <c r="AB210">
        <f t="shared" si="15"/>
        <v>793294.54314602341</v>
      </c>
    </row>
    <row r="211" spans="1:28">
      <c r="A211" t="s">
        <v>74</v>
      </c>
      <c r="B211" s="2">
        <v>45689</v>
      </c>
      <c r="C211" t="s">
        <v>15</v>
      </c>
      <c r="D211">
        <f t="shared" si="12"/>
        <v>0</v>
      </c>
      <c r="E211">
        <f t="shared" si="13"/>
        <v>0</v>
      </c>
      <c r="F211">
        <f t="shared" si="14"/>
        <v>0</v>
      </c>
      <c r="G211" t="s">
        <v>18</v>
      </c>
      <c r="H211">
        <v>62949.7</v>
      </c>
      <c r="I211">
        <v>9458</v>
      </c>
      <c r="J211">
        <v>0.17100000000000001</v>
      </c>
      <c r="K211">
        <v>19</v>
      </c>
      <c r="L211">
        <v>84.9</v>
      </c>
      <c r="M211">
        <v>5.09</v>
      </c>
      <c r="N211">
        <v>0</v>
      </c>
      <c r="O211">
        <v>3.3</v>
      </c>
      <c r="P211">
        <v>691288.19</v>
      </c>
      <c r="Q211">
        <v>159074.14000000001</v>
      </c>
      <c r="U211">
        <v>0</v>
      </c>
      <c r="V211">
        <v>0</v>
      </c>
      <c r="W211">
        <v>0</v>
      </c>
      <c r="X211">
        <v>62949.7</v>
      </c>
      <c r="Y211">
        <v>9458</v>
      </c>
      <c r="Z211">
        <v>84.9</v>
      </c>
      <c r="AA211">
        <v>3.3</v>
      </c>
      <c r="AB211">
        <f t="shared" si="15"/>
        <v>759544.76325092721</v>
      </c>
    </row>
    <row r="212" spans="1:28">
      <c r="A212" t="s">
        <v>74</v>
      </c>
      <c r="B212" s="2">
        <v>45717</v>
      </c>
      <c r="C212" t="s">
        <v>15</v>
      </c>
      <c r="D212">
        <f t="shared" si="12"/>
        <v>0</v>
      </c>
      <c r="E212">
        <f t="shared" si="13"/>
        <v>0</v>
      </c>
      <c r="F212">
        <f t="shared" si="14"/>
        <v>0</v>
      </c>
      <c r="G212" t="s">
        <v>18</v>
      </c>
      <c r="H212">
        <v>107970.19</v>
      </c>
      <c r="I212">
        <v>12870</v>
      </c>
      <c r="J212">
        <v>2.9000000000000001E-2</v>
      </c>
      <c r="K212">
        <v>31</v>
      </c>
      <c r="L212">
        <v>91.7</v>
      </c>
      <c r="M212">
        <v>3.82</v>
      </c>
      <c r="N212">
        <v>1</v>
      </c>
      <c r="O212">
        <v>3.7</v>
      </c>
      <c r="P212">
        <v>946833.54</v>
      </c>
      <c r="Q212">
        <v>184540.31</v>
      </c>
      <c r="U212">
        <v>0</v>
      </c>
      <c r="V212">
        <v>0</v>
      </c>
      <c r="W212">
        <v>0</v>
      </c>
      <c r="X212">
        <v>107970.19</v>
      </c>
      <c r="Y212">
        <v>12870</v>
      </c>
      <c r="Z212">
        <v>91.7</v>
      </c>
      <c r="AA212">
        <v>3.7</v>
      </c>
      <c r="AB212">
        <f t="shared" si="15"/>
        <v>953665.77519676147</v>
      </c>
    </row>
    <row r="213" spans="1:28">
      <c r="A213" t="s">
        <v>74</v>
      </c>
      <c r="B213" s="2">
        <v>45748</v>
      </c>
      <c r="C213" t="s">
        <v>15</v>
      </c>
      <c r="D213">
        <f t="shared" si="12"/>
        <v>0</v>
      </c>
      <c r="E213">
        <f t="shared" si="13"/>
        <v>0</v>
      </c>
      <c r="F213">
        <f t="shared" si="14"/>
        <v>0</v>
      </c>
      <c r="G213" t="s">
        <v>18</v>
      </c>
      <c r="H213">
        <v>49405.75</v>
      </c>
      <c r="I213">
        <v>9752</v>
      </c>
      <c r="J213">
        <v>9.2999999999999999E-2</v>
      </c>
      <c r="K213">
        <v>21</v>
      </c>
      <c r="L213">
        <v>87</v>
      </c>
      <c r="M213">
        <v>12.28</v>
      </c>
      <c r="N213">
        <v>0</v>
      </c>
      <c r="O213">
        <v>4.0999999999999996</v>
      </c>
      <c r="P213">
        <v>761963.23</v>
      </c>
      <c r="Q213">
        <v>150113.60999999999</v>
      </c>
      <c r="U213">
        <v>0</v>
      </c>
      <c r="V213">
        <v>0</v>
      </c>
      <c r="W213">
        <v>0</v>
      </c>
      <c r="X213">
        <v>49405.75</v>
      </c>
      <c r="Y213">
        <v>9752</v>
      </c>
      <c r="Z213">
        <v>87</v>
      </c>
      <c r="AA213">
        <v>4.0999999999999996</v>
      </c>
      <c r="AB213">
        <f t="shared" si="15"/>
        <v>768134.73945787211</v>
      </c>
    </row>
    <row r="214" spans="1:28">
      <c r="A214" t="s">
        <v>75</v>
      </c>
      <c r="B214" s="2">
        <v>45658</v>
      </c>
      <c r="C214" t="s">
        <v>27</v>
      </c>
      <c r="D214">
        <f t="shared" si="12"/>
        <v>0</v>
      </c>
      <c r="E214">
        <f t="shared" si="13"/>
        <v>0</v>
      </c>
      <c r="F214">
        <f t="shared" si="14"/>
        <v>1</v>
      </c>
      <c r="G214" t="s">
        <v>16</v>
      </c>
      <c r="H214">
        <v>50887.46</v>
      </c>
      <c r="I214">
        <v>9505</v>
      </c>
      <c r="J214">
        <v>9.0999999999999998E-2</v>
      </c>
      <c r="K214">
        <v>25</v>
      </c>
      <c r="L214">
        <v>89.7</v>
      </c>
      <c r="M214">
        <v>2.8</v>
      </c>
      <c r="N214">
        <v>0</v>
      </c>
      <c r="O214">
        <v>4.3</v>
      </c>
      <c r="P214">
        <v>812152.6</v>
      </c>
      <c r="Q214">
        <v>138419.43</v>
      </c>
      <c r="U214">
        <v>0</v>
      </c>
      <c r="V214">
        <v>0</v>
      </c>
      <c r="W214">
        <v>1</v>
      </c>
      <c r="X214">
        <v>50887.46</v>
      </c>
      <c r="Y214">
        <v>9505</v>
      </c>
      <c r="Z214">
        <v>89.7</v>
      </c>
      <c r="AA214">
        <v>4.3</v>
      </c>
      <c r="AB214">
        <f t="shared" si="15"/>
        <v>788564.063720915</v>
      </c>
    </row>
    <row r="215" spans="1:28">
      <c r="A215" t="s">
        <v>75</v>
      </c>
      <c r="B215" s="2">
        <v>45689</v>
      </c>
      <c r="C215" t="s">
        <v>27</v>
      </c>
      <c r="D215">
        <f t="shared" si="12"/>
        <v>0</v>
      </c>
      <c r="E215">
        <f t="shared" si="13"/>
        <v>0</v>
      </c>
      <c r="F215">
        <f t="shared" si="14"/>
        <v>1</v>
      </c>
      <c r="G215" t="s">
        <v>16</v>
      </c>
      <c r="H215">
        <v>41819.449999999997</v>
      </c>
      <c r="I215">
        <v>9412</v>
      </c>
      <c r="J215">
        <v>0.15</v>
      </c>
      <c r="K215">
        <v>22</v>
      </c>
      <c r="L215">
        <v>91</v>
      </c>
      <c r="M215">
        <v>3.67</v>
      </c>
      <c r="N215">
        <v>0</v>
      </c>
      <c r="O215">
        <v>4.2</v>
      </c>
      <c r="P215">
        <v>804975.5</v>
      </c>
      <c r="Q215">
        <v>140054.5</v>
      </c>
      <c r="U215">
        <v>0</v>
      </c>
      <c r="V215">
        <v>0</v>
      </c>
      <c r="W215">
        <v>1</v>
      </c>
      <c r="X215">
        <v>41819.449999999997</v>
      </c>
      <c r="Y215">
        <v>9412</v>
      </c>
      <c r="Z215">
        <v>91</v>
      </c>
      <c r="AA215">
        <v>4.2</v>
      </c>
      <c r="AB215">
        <f t="shared" si="15"/>
        <v>777151.55692632322</v>
      </c>
    </row>
    <row r="216" spans="1:28">
      <c r="A216" t="s">
        <v>75</v>
      </c>
      <c r="B216" s="2">
        <v>45717</v>
      </c>
      <c r="C216" t="s">
        <v>27</v>
      </c>
      <c r="D216">
        <f t="shared" si="12"/>
        <v>0</v>
      </c>
      <c r="E216">
        <f t="shared" si="13"/>
        <v>0</v>
      </c>
      <c r="F216">
        <f t="shared" si="14"/>
        <v>1</v>
      </c>
      <c r="G216" t="s">
        <v>16</v>
      </c>
      <c r="H216">
        <v>35296.54</v>
      </c>
      <c r="I216">
        <v>9644</v>
      </c>
      <c r="J216">
        <v>0</v>
      </c>
      <c r="K216">
        <v>22</v>
      </c>
      <c r="L216">
        <v>88</v>
      </c>
      <c r="M216">
        <v>2.81</v>
      </c>
      <c r="N216">
        <v>0</v>
      </c>
      <c r="O216">
        <v>4.7</v>
      </c>
      <c r="P216">
        <v>752321.72</v>
      </c>
      <c r="Q216">
        <v>137788.51</v>
      </c>
      <c r="U216">
        <v>0</v>
      </c>
      <c r="V216">
        <v>0</v>
      </c>
      <c r="W216">
        <v>1</v>
      </c>
      <c r="X216">
        <v>35296.54</v>
      </c>
      <c r="Y216">
        <v>9644</v>
      </c>
      <c r="Z216">
        <v>88</v>
      </c>
      <c r="AA216">
        <v>4.7</v>
      </c>
      <c r="AB216">
        <f t="shared" si="15"/>
        <v>774045.87456923898</v>
      </c>
    </row>
    <row r="217" spans="1:28">
      <c r="A217" t="s">
        <v>75</v>
      </c>
      <c r="B217" s="2">
        <v>45748</v>
      </c>
      <c r="C217" t="s">
        <v>27</v>
      </c>
      <c r="D217">
        <f t="shared" si="12"/>
        <v>0</v>
      </c>
      <c r="E217">
        <f t="shared" si="13"/>
        <v>0</v>
      </c>
      <c r="F217">
        <f t="shared" si="14"/>
        <v>1</v>
      </c>
      <c r="G217" t="s">
        <v>16</v>
      </c>
      <c r="H217">
        <v>47391.09</v>
      </c>
      <c r="I217">
        <v>11224</v>
      </c>
      <c r="J217">
        <v>0.14699999999999999</v>
      </c>
      <c r="K217">
        <v>25</v>
      </c>
      <c r="L217">
        <v>88.4</v>
      </c>
      <c r="M217">
        <v>2.44</v>
      </c>
      <c r="N217">
        <v>0</v>
      </c>
      <c r="O217">
        <v>4.9000000000000004</v>
      </c>
      <c r="P217">
        <v>836908.24</v>
      </c>
      <c r="Q217">
        <v>141090.26</v>
      </c>
      <c r="U217">
        <v>0</v>
      </c>
      <c r="V217">
        <v>0</v>
      </c>
      <c r="W217">
        <v>1</v>
      </c>
      <c r="X217">
        <v>47391.09</v>
      </c>
      <c r="Y217">
        <v>11224</v>
      </c>
      <c r="Z217">
        <v>88.4</v>
      </c>
      <c r="AA217">
        <v>4.9000000000000004</v>
      </c>
      <c r="AB217">
        <f t="shared" si="15"/>
        <v>845641.64732833998</v>
      </c>
    </row>
    <row r="218" spans="1:28">
      <c r="A218" t="s">
        <v>76</v>
      </c>
      <c r="B218" s="2">
        <v>45658</v>
      </c>
      <c r="C218" t="s">
        <v>20</v>
      </c>
      <c r="D218">
        <f t="shared" si="12"/>
        <v>1</v>
      </c>
      <c r="E218">
        <f t="shared" si="13"/>
        <v>0</v>
      </c>
      <c r="F218">
        <f t="shared" si="14"/>
        <v>0</v>
      </c>
      <c r="G218" t="s">
        <v>21</v>
      </c>
      <c r="H218">
        <v>69180.539999999994</v>
      </c>
      <c r="I218">
        <v>5394</v>
      </c>
      <c r="J218">
        <v>0.126</v>
      </c>
      <c r="K218">
        <v>12</v>
      </c>
      <c r="L218">
        <v>82.9</v>
      </c>
      <c r="M218">
        <v>3.27</v>
      </c>
      <c r="N218">
        <v>0</v>
      </c>
      <c r="O218">
        <v>3.3</v>
      </c>
      <c r="P218">
        <v>674289.1</v>
      </c>
      <c r="Q218">
        <v>117773.79</v>
      </c>
      <c r="U218">
        <v>1</v>
      </c>
      <c r="V218">
        <v>0</v>
      </c>
      <c r="W218">
        <v>0</v>
      </c>
      <c r="X218">
        <v>69180.539999999994</v>
      </c>
      <c r="Y218">
        <v>5394</v>
      </c>
      <c r="Z218">
        <v>82.9</v>
      </c>
      <c r="AA218">
        <v>3.3</v>
      </c>
      <c r="AB218">
        <f t="shared" si="15"/>
        <v>631817.57115612295</v>
      </c>
    </row>
    <row r="219" spans="1:28">
      <c r="A219" t="s">
        <v>76</v>
      </c>
      <c r="B219" s="2">
        <v>45689</v>
      </c>
      <c r="C219" t="s">
        <v>20</v>
      </c>
      <c r="D219">
        <f t="shared" si="12"/>
        <v>1</v>
      </c>
      <c r="E219">
        <f t="shared" si="13"/>
        <v>0</v>
      </c>
      <c r="F219">
        <f t="shared" si="14"/>
        <v>0</v>
      </c>
      <c r="G219" t="s">
        <v>21</v>
      </c>
      <c r="H219">
        <v>33987.33</v>
      </c>
      <c r="I219">
        <v>5014</v>
      </c>
      <c r="J219">
        <v>0.246</v>
      </c>
      <c r="K219">
        <v>17</v>
      </c>
      <c r="L219">
        <v>94.3</v>
      </c>
      <c r="M219">
        <v>10.34</v>
      </c>
      <c r="N219">
        <v>0</v>
      </c>
      <c r="O219">
        <v>3.9</v>
      </c>
      <c r="P219">
        <v>622892.42000000004</v>
      </c>
      <c r="Q219">
        <v>101032.52</v>
      </c>
      <c r="U219">
        <v>1</v>
      </c>
      <c r="V219">
        <v>0</v>
      </c>
      <c r="W219">
        <v>0</v>
      </c>
      <c r="X219">
        <v>33987.33</v>
      </c>
      <c r="Y219">
        <v>5014</v>
      </c>
      <c r="Z219">
        <v>94.3</v>
      </c>
      <c r="AA219">
        <v>3.9</v>
      </c>
      <c r="AB219">
        <f t="shared" si="15"/>
        <v>616115.46416174609</v>
      </c>
    </row>
    <row r="220" spans="1:28">
      <c r="A220" t="s">
        <v>76</v>
      </c>
      <c r="B220" s="2">
        <v>45717</v>
      </c>
      <c r="C220" t="s">
        <v>20</v>
      </c>
      <c r="D220">
        <f t="shared" si="12"/>
        <v>1</v>
      </c>
      <c r="E220">
        <f t="shared" si="13"/>
        <v>0</v>
      </c>
      <c r="F220">
        <f t="shared" si="14"/>
        <v>0</v>
      </c>
      <c r="G220" t="s">
        <v>21</v>
      </c>
      <c r="H220">
        <v>58785.33</v>
      </c>
      <c r="I220">
        <v>4467</v>
      </c>
      <c r="J220">
        <v>0.22900000000000001</v>
      </c>
      <c r="K220">
        <v>14</v>
      </c>
      <c r="L220">
        <v>90.7</v>
      </c>
      <c r="M220">
        <v>1.92</v>
      </c>
      <c r="N220">
        <v>0</v>
      </c>
      <c r="O220">
        <v>3.7</v>
      </c>
      <c r="P220">
        <v>673348.56</v>
      </c>
      <c r="Q220">
        <v>69464.59</v>
      </c>
      <c r="U220">
        <v>1</v>
      </c>
      <c r="V220">
        <v>0</v>
      </c>
      <c r="W220">
        <v>0</v>
      </c>
      <c r="X220">
        <v>58785.33</v>
      </c>
      <c r="Y220">
        <v>4467</v>
      </c>
      <c r="Z220">
        <v>90.7</v>
      </c>
      <c r="AA220">
        <v>3.7</v>
      </c>
      <c r="AB220">
        <f t="shared" si="15"/>
        <v>614742.8079958841</v>
      </c>
    </row>
    <row r="221" spans="1:28">
      <c r="A221" t="s">
        <v>76</v>
      </c>
      <c r="B221" s="2">
        <v>45748</v>
      </c>
      <c r="C221" t="s">
        <v>20</v>
      </c>
      <c r="D221">
        <f t="shared" si="12"/>
        <v>1</v>
      </c>
      <c r="E221">
        <f t="shared" si="13"/>
        <v>0</v>
      </c>
      <c r="F221">
        <f t="shared" si="14"/>
        <v>0</v>
      </c>
      <c r="G221" t="s">
        <v>21</v>
      </c>
      <c r="H221">
        <v>16451.849999999999</v>
      </c>
      <c r="I221">
        <v>4678</v>
      </c>
      <c r="J221">
        <v>0.13300000000000001</v>
      </c>
      <c r="K221">
        <v>11</v>
      </c>
      <c r="L221">
        <v>95.9</v>
      </c>
      <c r="M221">
        <v>3.1</v>
      </c>
      <c r="N221">
        <v>0</v>
      </c>
      <c r="O221">
        <v>3.9</v>
      </c>
      <c r="P221">
        <v>606278.30000000005</v>
      </c>
      <c r="Q221">
        <v>102213.26</v>
      </c>
      <c r="U221">
        <v>1</v>
      </c>
      <c r="V221">
        <v>0</v>
      </c>
      <c r="W221">
        <v>0</v>
      </c>
      <c r="X221">
        <v>16451.849999999999</v>
      </c>
      <c r="Y221">
        <v>4678</v>
      </c>
      <c r="Z221">
        <v>95.9</v>
      </c>
      <c r="AA221">
        <v>3.9</v>
      </c>
      <c r="AB221">
        <f t="shared" si="15"/>
        <v>588233.08874828566</v>
      </c>
    </row>
    <row r="222" spans="1:28">
      <c r="A222" t="s">
        <v>77</v>
      </c>
      <c r="B222" s="2">
        <v>45658</v>
      </c>
      <c r="C222" t="s">
        <v>15</v>
      </c>
      <c r="D222">
        <f t="shared" si="12"/>
        <v>0</v>
      </c>
      <c r="E222">
        <f t="shared" si="13"/>
        <v>0</v>
      </c>
      <c r="F222">
        <f t="shared" si="14"/>
        <v>0</v>
      </c>
      <c r="G222" t="s">
        <v>18</v>
      </c>
      <c r="H222">
        <v>53367.73</v>
      </c>
      <c r="I222">
        <v>7291</v>
      </c>
      <c r="J222">
        <v>0.14599999999999999</v>
      </c>
      <c r="K222">
        <v>18</v>
      </c>
      <c r="L222">
        <v>90.6</v>
      </c>
      <c r="M222">
        <v>6.34</v>
      </c>
      <c r="N222">
        <v>1</v>
      </c>
      <c r="O222">
        <v>3.8</v>
      </c>
      <c r="P222">
        <v>712219.81</v>
      </c>
      <c r="Q222">
        <v>85906.54</v>
      </c>
      <c r="U222">
        <v>0</v>
      </c>
      <c r="V222">
        <v>0</v>
      </c>
      <c r="W222">
        <v>0</v>
      </c>
      <c r="X222">
        <v>53367.73</v>
      </c>
      <c r="Y222">
        <v>7291</v>
      </c>
      <c r="Z222">
        <v>90.6</v>
      </c>
      <c r="AA222">
        <v>3.8</v>
      </c>
      <c r="AB222">
        <f t="shared" si="15"/>
        <v>696347.61497478653</v>
      </c>
    </row>
    <row r="223" spans="1:28">
      <c r="A223" t="s">
        <v>77</v>
      </c>
      <c r="B223" s="2">
        <v>45689</v>
      </c>
      <c r="C223" t="s">
        <v>15</v>
      </c>
      <c r="D223">
        <f t="shared" si="12"/>
        <v>0</v>
      </c>
      <c r="E223">
        <f t="shared" si="13"/>
        <v>0</v>
      </c>
      <c r="F223">
        <f t="shared" si="14"/>
        <v>0</v>
      </c>
      <c r="G223" t="s">
        <v>18</v>
      </c>
      <c r="H223">
        <v>27194.639999999999</v>
      </c>
      <c r="I223">
        <v>7404</v>
      </c>
      <c r="J223">
        <v>8.7999999999999995E-2</v>
      </c>
      <c r="K223">
        <v>18</v>
      </c>
      <c r="L223">
        <v>90.2</v>
      </c>
      <c r="M223">
        <v>1.2</v>
      </c>
      <c r="N223">
        <v>0</v>
      </c>
      <c r="O223">
        <v>3.4</v>
      </c>
      <c r="P223">
        <v>672670.54</v>
      </c>
      <c r="Q223">
        <v>132684.18</v>
      </c>
      <c r="U223">
        <v>0</v>
      </c>
      <c r="V223">
        <v>0</v>
      </c>
      <c r="W223">
        <v>0</v>
      </c>
      <c r="X223">
        <v>27194.639999999999</v>
      </c>
      <c r="Y223">
        <v>7404</v>
      </c>
      <c r="Z223">
        <v>90.2</v>
      </c>
      <c r="AA223">
        <v>3.4</v>
      </c>
      <c r="AB223">
        <f t="shared" si="15"/>
        <v>663155.93660402461</v>
      </c>
    </row>
    <row r="224" spans="1:28">
      <c r="A224" t="s">
        <v>77</v>
      </c>
      <c r="B224" s="2">
        <v>45717</v>
      </c>
      <c r="C224" t="s">
        <v>15</v>
      </c>
      <c r="D224">
        <f t="shared" si="12"/>
        <v>0</v>
      </c>
      <c r="E224">
        <f t="shared" si="13"/>
        <v>0</v>
      </c>
      <c r="F224">
        <f t="shared" si="14"/>
        <v>0</v>
      </c>
      <c r="G224" t="s">
        <v>18</v>
      </c>
      <c r="H224">
        <v>66962.740000000005</v>
      </c>
      <c r="I224">
        <v>7880</v>
      </c>
      <c r="J224">
        <v>0.11600000000000001</v>
      </c>
      <c r="K224">
        <v>19</v>
      </c>
      <c r="L224">
        <v>90.4</v>
      </c>
      <c r="M224">
        <v>4.5</v>
      </c>
      <c r="N224">
        <v>0</v>
      </c>
      <c r="O224">
        <v>3.3</v>
      </c>
      <c r="P224">
        <v>732667.92</v>
      </c>
      <c r="Q224">
        <v>128654.46</v>
      </c>
      <c r="U224">
        <v>0</v>
      </c>
      <c r="V224">
        <v>0</v>
      </c>
      <c r="W224">
        <v>0</v>
      </c>
      <c r="X224">
        <v>66962.740000000005</v>
      </c>
      <c r="Y224">
        <v>7880</v>
      </c>
      <c r="Z224">
        <v>90.4</v>
      </c>
      <c r="AA224">
        <v>3.3</v>
      </c>
      <c r="AB224">
        <f t="shared" si="15"/>
        <v>726619.41844541032</v>
      </c>
    </row>
    <row r="225" spans="1:28">
      <c r="A225" t="s">
        <v>77</v>
      </c>
      <c r="B225" s="2">
        <v>45748</v>
      </c>
      <c r="C225" t="s">
        <v>15</v>
      </c>
      <c r="D225">
        <f t="shared" si="12"/>
        <v>0</v>
      </c>
      <c r="E225">
        <f t="shared" si="13"/>
        <v>0</v>
      </c>
      <c r="F225">
        <f t="shared" si="14"/>
        <v>0</v>
      </c>
      <c r="G225" t="s">
        <v>18</v>
      </c>
      <c r="H225">
        <v>73540.990000000005</v>
      </c>
      <c r="I225">
        <v>8773</v>
      </c>
      <c r="J225">
        <v>3.5000000000000003E-2</v>
      </c>
      <c r="K225">
        <v>21</v>
      </c>
      <c r="L225">
        <v>84.4</v>
      </c>
      <c r="M225">
        <v>6.68</v>
      </c>
      <c r="N225">
        <v>0</v>
      </c>
      <c r="O225">
        <v>3.6</v>
      </c>
      <c r="P225">
        <v>723531.4</v>
      </c>
      <c r="Q225">
        <v>108794.85</v>
      </c>
      <c r="U225">
        <v>0</v>
      </c>
      <c r="V225">
        <v>0</v>
      </c>
      <c r="W225">
        <v>0</v>
      </c>
      <c r="X225">
        <v>73540.990000000005</v>
      </c>
      <c r="Y225">
        <v>8773</v>
      </c>
      <c r="Z225">
        <v>84.4</v>
      </c>
      <c r="AA225">
        <v>3.6</v>
      </c>
      <c r="AB225">
        <f t="shared" si="15"/>
        <v>750863.30331537232</v>
      </c>
    </row>
    <row r="226" spans="1:28">
      <c r="A226" t="s">
        <v>78</v>
      </c>
      <c r="B226" s="2">
        <v>45658</v>
      </c>
      <c r="C226" t="s">
        <v>15</v>
      </c>
      <c r="D226">
        <f t="shared" si="12"/>
        <v>0</v>
      </c>
      <c r="E226">
        <f t="shared" si="13"/>
        <v>0</v>
      </c>
      <c r="F226">
        <f t="shared" si="14"/>
        <v>0</v>
      </c>
      <c r="G226" t="s">
        <v>28</v>
      </c>
      <c r="H226">
        <v>68212.289999999994</v>
      </c>
      <c r="I226">
        <v>4713</v>
      </c>
      <c r="J226">
        <v>0.19800000000000001</v>
      </c>
      <c r="K226">
        <v>15</v>
      </c>
      <c r="L226">
        <v>82.6</v>
      </c>
      <c r="M226">
        <v>4.07</v>
      </c>
      <c r="N226">
        <v>1</v>
      </c>
      <c r="O226">
        <v>3</v>
      </c>
      <c r="P226">
        <v>641564.6</v>
      </c>
      <c r="Q226">
        <v>90468.96</v>
      </c>
      <c r="U226">
        <v>0</v>
      </c>
      <c r="V226">
        <v>0</v>
      </c>
      <c r="W226">
        <v>0</v>
      </c>
      <c r="X226">
        <v>68212.289999999994</v>
      </c>
      <c r="Y226">
        <v>4713</v>
      </c>
      <c r="Z226">
        <v>82.6</v>
      </c>
      <c r="AA226">
        <v>3</v>
      </c>
      <c r="AB226">
        <f t="shared" si="15"/>
        <v>594669.55089888105</v>
      </c>
    </row>
    <row r="227" spans="1:28">
      <c r="A227" t="s">
        <v>78</v>
      </c>
      <c r="B227" s="2">
        <v>45689</v>
      </c>
      <c r="C227" t="s">
        <v>15</v>
      </c>
      <c r="D227">
        <f t="shared" si="12"/>
        <v>0</v>
      </c>
      <c r="E227">
        <f t="shared" si="13"/>
        <v>0</v>
      </c>
      <c r="F227">
        <f t="shared" si="14"/>
        <v>0</v>
      </c>
      <c r="G227" t="s">
        <v>28</v>
      </c>
      <c r="H227">
        <v>57225.98</v>
      </c>
      <c r="I227">
        <v>2842</v>
      </c>
      <c r="J227">
        <v>0.112</v>
      </c>
      <c r="K227">
        <v>10</v>
      </c>
      <c r="L227">
        <v>79.5</v>
      </c>
      <c r="M227">
        <v>5.45</v>
      </c>
      <c r="N227">
        <v>0</v>
      </c>
      <c r="O227">
        <v>3.4</v>
      </c>
      <c r="P227">
        <v>536545.49</v>
      </c>
      <c r="Q227">
        <v>97917.45</v>
      </c>
      <c r="U227">
        <v>0</v>
      </c>
      <c r="V227">
        <v>0</v>
      </c>
      <c r="W227">
        <v>0</v>
      </c>
      <c r="X227">
        <v>57225.98</v>
      </c>
      <c r="Y227">
        <v>2842</v>
      </c>
      <c r="Z227">
        <v>79.5</v>
      </c>
      <c r="AA227">
        <v>3.4</v>
      </c>
      <c r="AB227">
        <f t="shared" si="15"/>
        <v>513337.57755176845</v>
      </c>
    </row>
    <row r="228" spans="1:28">
      <c r="A228" t="s">
        <v>78</v>
      </c>
      <c r="B228" s="2">
        <v>45717</v>
      </c>
      <c r="C228" t="s">
        <v>15</v>
      </c>
      <c r="D228">
        <f t="shared" si="12"/>
        <v>0</v>
      </c>
      <c r="E228">
        <f t="shared" si="13"/>
        <v>0</v>
      </c>
      <c r="F228">
        <f t="shared" si="14"/>
        <v>0</v>
      </c>
      <c r="G228" t="s">
        <v>28</v>
      </c>
      <c r="H228">
        <v>42932.02</v>
      </c>
      <c r="I228">
        <v>3872</v>
      </c>
      <c r="J228">
        <v>0.17100000000000001</v>
      </c>
      <c r="K228">
        <v>12</v>
      </c>
      <c r="L228">
        <v>83.2</v>
      </c>
      <c r="M228">
        <v>15.58</v>
      </c>
      <c r="N228">
        <v>0</v>
      </c>
      <c r="O228">
        <v>3.3</v>
      </c>
      <c r="P228">
        <v>527681.56000000006</v>
      </c>
      <c r="Q228">
        <v>63153.05</v>
      </c>
      <c r="U228">
        <v>0</v>
      </c>
      <c r="V228">
        <v>0</v>
      </c>
      <c r="W228">
        <v>0</v>
      </c>
      <c r="X228">
        <v>42932.02</v>
      </c>
      <c r="Y228">
        <v>3872</v>
      </c>
      <c r="Z228">
        <v>83.2</v>
      </c>
      <c r="AA228">
        <v>3.3</v>
      </c>
      <c r="AB228">
        <f t="shared" si="15"/>
        <v>540734.53357105947</v>
      </c>
    </row>
    <row r="229" spans="1:28">
      <c r="A229" t="s">
        <v>78</v>
      </c>
      <c r="B229" s="2">
        <v>45748</v>
      </c>
      <c r="C229" t="s">
        <v>15</v>
      </c>
      <c r="D229">
        <f t="shared" si="12"/>
        <v>0</v>
      </c>
      <c r="E229">
        <f t="shared" si="13"/>
        <v>0</v>
      </c>
      <c r="F229">
        <f t="shared" si="14"/>
        <v>0</v>
      </c>
      <c r="G229" t="s">
        <v>28</v>
      </c>
      <c r="H229">
        <v>39341.449999999997</v>
      </c>
      <c r="I229">
        <v>1375</v>
      </c>
      <c r="J229">
        <v>9.2999999999999999E-2</v>
      </c>
      <c r="K229">
        <v>5</v>
      </c>
      <c r="L229">
        <v>95</v>
      </c>
      <c r="M229">
        <v>5.32</v>
      </c>
      <c r="N229">
        <v>0</v>
      </c>
      <c r="O229">
        <v>3.92</v>
      </c>
      <c r="P229">
        <v>529598.93999999994</v>
      </c>
      <c r="Q229">
        <v>84334.33</v>
      </c>
      <c r="U229">
        <v>0</v>
      </c>
      <c r="V229">
        <v>0</v>
      </c>
      <c r="W229">
        <v>0</v>
      </c>
      <c r="X229">
        <v>39341.449999999997</v>
      </c>
      <c r="Y229">
        <v>1375</v>
      </c>
      <c r="Z229">
        <v>95</v>
      </c>
      <c r="AA229">
        <v>3.92</v>
      </c>
      <c r="AB229">
        <f t="shared" si="15"/>
        <v>492457.96187618515</v>
      </c>
    </row>
    <row r="230" spans="1:28">
      <c r="A230" t="s">
        <v>79</v>
      </c>
      <c r="B230" s="2">
        <v>45658</v>
      </c>
      <c r="C230" t="s">
        <v>15</v>
      </c>
      <c r="D230">
        <f t="shared" si="12"/>
        <v>0</v>
      </c>
      <c r="E230">
        <f t="shared" si="13"/>
        <v>0</v>
      </c>
      <c r="F230">
        <f t="shared" si="14"/>
        <v>0</v>
      </c>
      <c r="G230" t="s">
        <v>18</v>
      </c>
      <c r="H230">
        <v>37324.230000000003</v>
      </c>
      <c r="I230">
        <v>5957</v>
      </c>
      <c r="J230">
        <v>7.0999999999999994E-2</v>
      </c>
      <c r="K230">
        <v>12</v>
      </c>
      <c r="L230">
        <v>85.9</v>
      </c>
      <c r="M230">
        <v>0.37</v>
      </c>
      <c r="N230">
        <v>0</v>
      </c>
      <c r="O230">
        <v>3.8</v>
      </c>
      <c r="P230">
        <v>570963.31000000006</v>
      </c>
      <c r="Q230">
        <v>87342.25</v>
      </c>
      <c r="U230">
        <v>0</v>
      </c>
      <c r="V230">
        <v>0</v>
      </c>
      <c r="W230">
        <v>0</v>
      </c>
      <c r="X230">
        <v>37324.230000000003</v>
      </c>
      <c r="Y230">
        <v>5957</v>
      </c>
      <c r="Z230">
        <v>85.9</v>
      </c>
      <c r="AA230">
        <v>3.8</v>
      </c>
      <c r="AB230">
        <f t="shared" si="15"/>
        <v>618156.29076591053</v>
      </c>
    </row>
    <row r="231" spans="1:28">
      <c r="A231" t="s">
        <v>79</v>
      </c>
      <c r="B231" s="2">
        <v>45689</v>
      </c>
      <c r="C231" t="s">
        <v>15</v>
      </c>
      <c r="D231">
        <f t="shared" si="12"/>
        <v>0</v>
      </c>
      <c r="E231">
        <f t="shared" si="13"/>
        <v>0</v>
      </c>
      <c r="F231">
        <f t="shared" si="14"/>
        <v>0</v>
      </c>
      <c r="G231" t="s">
        <v>18</v>
      </c>
      <c r="H231">
        <v>113736</v>
      </c>
      <c r="I231">
        <v>8961</v>
      </c>
      <c r="J231">
        <v>0.20200000000000001</v>
      </c>
      <c r="K231">
        <v>24</v>
      </c>
      <c r="L231">
        <v>86.2</v>
      </c>
      <c r="M231">
        <v>21.63</v>
      </c>
      <c r="N231">
        <v>0</v>
      </c>
      <c r="O231">
        <v>4</v>
      </c>
      <c r="P231">
        <v>870937.4</v>
      </c>
      <c r="Q231">
        <v>175282.74</v>
      </c>
      <c r="U231">
        <v>0</v>
      </c>
      <c r="V231">
        <v>0</v>
      </c>
      <c r="W231">
        <v>0</v>
      </c>
      <c r="X231">
        <v>113736</v>
      </c>
      <c r="Y231">
        <v>8961</v>
      </c>
      <c r="Z231">
        <v>86.2</v>
      </c>
      <c r="AA231">
        <v>4</v>
      </c>
      <c r="AB231">
        <f t="shared" si="15"/>
        <v>815183.85257806606</v>
      </c>
    </row>
    <row r="232" spans="1:28">
      <c r="A232" t="s">
        <v>79</v>
      </c>
      <c r="B232" s="2">
        <v>45717</v>
      </c>
      <c r="C232" t="s">
        <v>15</v>
      </c>
      <c r="D232">
        <f t="shared" si="12"/>
        <v>0</v>
      </c>
      <c r="E232">
        <f t="shared" si="13"/>
        <v>0</v>
      </c>
      <c r="F232">
        <f t="shared" si="14"/>
        <v>0</v>
      </c>
      <c r="G232" t="s">
        <v>18</v>
      </c>
      <c r="H232">
        <v>33173.949999999997</v>
      </c>
      <c r="I232">
        <v>6545</v>
      </c>
      <c r="J232">
        <v>0.16900000000000001</v>
      </c>
      <c r="K232">
        <v>15</v>
      </c>
      <c r="L232">
        <v>84.4</v>
      </c>
      <c r="M232">
        <v>2.48</v>
      </c>
      <c r="N232">
        <v>0</v>
      </c>
      <c r="O232">
        <v>3.9</v>
      </c>
      <c r="P232">
        <v>596969.27</v>
      </c>
      <c r="Q232">
        <v>105669.51</v>
      </c>
      <c r="U232">
        <v>0</v>
      </c>
      <c r="V232">
        <v>0</v>
      </c>
      <c r="W232">
        <v>0</v>
      </c>
      <c r="X232">
        <v>33173.949999999997</v>
      </c>
      <c r="Y232">
        <v>6545</v>
      </c>
      <c r="Z232">
        <v>84.4</v>
      </c>
      <c r="AA232">
        <v>3.9</v>
      </c>
      <c r="AB232">
        <f t="shared" si="15"/>
        <v>629921.65945960523</v>
      </c>
    </row>
    <row r="233" spans="1:28">
      <c r="A233" t="s">
        <v>79</v>
      </c>
      <c r="B233" s="2">
        <v>45748</v>
      </c>
      <c r="C233" t="s">
        <v>15</v>
      </c>
      <c r="D233">
        <f t="shared" si="12"/>
        <v>0</v>
      </c>
      <c r="E233">
        <f t="shared" si="13"/>
        <v>0</v>
      </c>
      <c r="F233">
        <f t="shared" si="14"/>
        <v>0</v>
      </c>
      <c r="G233" t="s">
        <v>18</v>
      </c>
      <c r="H233">
        <v>25818.080000000002</v>
      </c>
      <c r="I233">
        <v>5457</v>
      </c>
      <c r="J233">
        <v>0</v>
      </c>
      <c r="K233">
        <v>11</v>
      </c>
      <c r="L233">
        <v>95.4</v>
      </c>
      <c r="M233">
        <v>4.5590445859872624</v>
      </c>
      <c r="N233">
        <v>0</v>
      </c>
      <c r="O233">
        <v>3.7</v>
      </c>
      <c r="P233">
        <v>647512.85</v>
      </c>
      <c r="Q233">
        <v>153835.57</v>
      </c>
      <c r="U233">
        <v>0</v>
      </c>
      <c r="V233">
        <v>0</v>
      </c>
      <c r="W233">
        <v>0</v>
      </c>
      <c r="X233">
        <v>25818.080000000002</v>
      </c>
      <c r="Y233">
        <v>5457</v>
      </c>
      <c r="Z233">
        <v>95.4</v>
      </c>
      <c r="AA233">
        <v>3.7</v>
      </c>
      <c r="AB233">
        <f t="shared" si="15"/>
        <v>613652.10529464821</v>
      </c>
    </row>
    <row r="234" spans="1:28">
      <c r="A234" t="s">
        <v>80</v>
      </c>
      <c r="B234" s="2">
        <v>45658</v>
      </c>
      <c r="C234" t="s">
        <v>27</v>
      </c>
      <c r="D234">
        <f t="shared" si="12"/>
        <v>0</v>
      </c>
      <c r="E234">
        <f t="shared" si="13"/>
        <v>0</v>
      </c>
      <c r="F234">
        <f t="shared" si="14"/>
        <v>1</v>
      </c>
      <c r="G234" t="s">
        <v>16</v>
      </c>
      <c r="H234">
        <v>47241.919999999998</v>
      </c>
      <c r="I234">
        <v>4264</v>
      </c>
      <c r="J234">
        <v>6.9000000000000006E-2</v>
      </c>
      <c r="K234">
        <v>13</v>
      </c>
      <c r="L234">
        <v>95.3</v>
      </c>
      <c r="M234">
        <v>0.85</v>
      </c>
      <c r="N234">
        <v>0</v>
      </c>
      <c r="O234">
        <v>4.3</v>
      </c>
      <c r="P234">
        <v>658072.14</v>
      </c>
      <c r="Q234">
        <v>110595.89</v>
      </c>
      <c r="U234">
        <v>0</v>
      </c>
      <c r="V234">
        <v>0</v>
      </c>
      <c r="W234">
        <v>1</v>
      </c>
      <c r="X234">
        <v>47241.919999999998</v>
      </c>
      <c r="Y234">
        <v>4264</v>
      </c>
      <c r="Z234">
        <v>95.3</v>
      </c>
      <c r="AA234">
        <v>4.3</v>
      </c>
      <c r="AB234">
        <f t="shared" si="15"/>
        <v>622235.35388404189</v>
      </c>
    </row>
    <row r="235" spans="1:28">
      <c r="A235" t="s">
        <v>80</v>
      </c>
      <c r="B235" s="2">
        <v>45689</v>
      </c>
      <c r="C235" t="s">
        <v>27</v>
      </c>
      <c r="D235">
        <f t="shared" si="12"/>
        <v>0</v>
      </c>
      <c r="E235">
        <f t="shared" si="13"/>
        <v>0</v>
      </c>
      <c r="F235">
        <f t="shared" si="14"/>
        <v>1</v>
      </c>
      <c r="G235" t="s">
        <v>16</v>
      </c>
      <c r="H235">
        <v>61650.79</v>
      </c>
      <c r="I235">
        <v>5321</v>
      </c>
      <c r="J235">
        <v>0.126</v>
      </c>
      <c r="K235">
        <v>17</v>
      </c>
      <c r="L235">
        <v>89.2</v>
      </c>
      <c r="M235">
        <v>2.13</v>
      </c>
      <c r="N235">
        <v>0</v>
      </c>
      <c r="O235">
        <v>4</v>
      </c>
      <c r="P235">
        <v>723305.11</v>
      </c>
      <c r="Q235">
        <v>128468.7</v>
      </c>
      <c r="U235">
        <v>0</v>
      </c>
      <c r="V235">
        <v>0</v>
      </c>
      <c r="W235">
        <v>1</v>
      </c>
      <c r="X235">
        <v>61650.79</v>
      </c>
      <c r="Y235">
        <v>5321</v>
      </c>
      <c r="Z235">
        <v>89.2</v>
      </c>
      <c r="AA235">
        <v>4</v>
      </c>
      <c r="AB235">
        <f t="shared" si="15"/>
        <v>654563.53499249707</v>
      </c>
    </row>
    <row r="236" spans="1:28">
      <c r="A236" t="s">
        <v>80</v>
      </c>
      <c r="B236" s="2">
        <v>45717</v>
      </c>
      <c r="C236" t="s">
        <v>27</v>
      </c>
      <c r="D236">
        <f t="shared" si="12"/>
        <v>0</v>
      </c>
      <c r="E236">
        <f t="shared" si="13"/>
        <v>0</v>
      </c>
      <c r="F236">
        <f t="shared" si="14"/>
        <v>1</v>
      </c>
      <c r="G236" t="s">
        <v>16</v>
      </c>
      <c r="H236">
        <v>62582.71</v>
      </c>
      <c r="I236">
        <v>5479</v>
      </c>
      <c r="J236">
        <v>4.8000000000000001E-2</v>
      </c>
      <c r="K236">
        <v>16</v>
      </c>
      <c r="L236">
        <v>81.2</v>
      </c>
      <c r="M236">
        <v>1.46</v>
      </c>
      <c r="N236">
        <v>0</v>
      </c>
      <c r="O236">
        <v>4.5</v>
      </c>
      <c r="P236">
        <v>640666.53</v>
      </c>
      <c r="Q236">
        <v>134919.16</v>
      </c>
      <c r="U236">
        <v>0</v>
      </c>
      <c r="V236">
        <v>0</v>
      </c>
      <c r="W236">
        <v>1</v>
      </c>
      <c r="X236">
        <v>62582.71</v>
      </c>
      <c r="Y236">
        <v>5479</v>
      </c>
      <c r="Z236">
        <v>81.2</v>
      </c>
      <c r="AA236">
        <v>4.5</v>
      </c>
      <c r="AB236">
        <f t="shared" si="15"/>
        <v>643472.08778379892</v>
      </c>
    </row>
    <row r="237" spans="1:28">
      <c r="A237" t="s">
        <v>80</v>
      </c>
      <c r="B237" s="2">
        <v>45748</v>
      </c>
      <c r="C237" t="s">
        <v>27</v>
      </c>
      <c r="D237">
        <f t="shared" si="12"/>
        <v>0</v>
      </c>
      <c r="E237">
        <f t="shared" si="13"/>
        <v>0</v>
      </c>
      <c r="F237">
        <f t="shared" si="14"/>
        <v>1</v>
      </c>
      <c r="G237" t="s">
        <v>16</v>
      </c>
      <c r="H237">
        <v>47944.14</v>
      </c>
      <c r="I237">
        <v>6169</v>
      </c>
      <c r="J237">
        <v>0.11899999999999999</v>
      </c>
      <c r="K237">
        <v>17</v>
      </c>
      <c r="L237">
        <v>92.2</v>
      </c>
      <c r="M237">
        <v>3.02</v>
      </c>
      <c r="N237">
        <v>0</v>
      </c>
      <c r="O237">
        <v>4.0999999999999996</v>
      </c>
      <c r="P237">
        <v>670629.48</v>
      </c>
      <c r="Q237">
        <v>100140.8</v>
      </c>
      <c r="U237">
        <v>0</v>
      </c>
      <c r="V237">
        <v>0</v>
      </c>
      <c r="W237">
        <v>1</v>
      </c>
      <c r="X237">
        <v>47944.14</v>
      </c>
      <c r="Y237">
        <v>6169</v>
      </c>
      <c r="Z237">
        <v>92.2</v>
      </c>
      <c r="AA237">
        <v>4.0999999999999996</v>
      </c>
      <c r="AB237">
        <f t="shared" si="15"/>
        <v>676665.74731178663</v>
      </c>
    </row>
    <row r="238" spans="1:28">
      <c r="A238" t="s">
        <v>81</v>
      </c>
      <c r="B238" s="2">
        <v>45658</v>
      </c>
      <c r="C238" t="s">
        <v>27</v>
      </c>
      <c r="D238">
        <f t="shared" si="12"/>
        <v>0</v>
      </c>
      <c r="E238">
        <f t="shared" si="13"/>
        <v>0</v>
      </c>
      <c r="F238">
        <f t="shared" si="14"/>
        <v>1</v>
      </c>
      <c r="G238" t="s">
        <v>28</v>
      </c>
      <c r="H238">
        <v>46495.4</v>
      </c>
      <c r="I238">
        <v>9908</v>
      </c>
      <c r="J238">
        <v>0.121</v>
      </c>
      <c r="K238">
        <v>22</v>
      </c>
      <c r="L238">
        <v>89.4</v>
      </c>
      <c r="M238">
        <v>3.22</v>
      </c>
      <c r="N238">
        <v>0</v>
      </c>
      <c r="O238">
        <v>3.7</v>
      </c>
      <c r="P238">
        <v>721079.35</v>
      </c>
      <c r="Q238">
        <v>115295.05</v>
      </c>
      <c r="U238">
        <v>0</v>
      </c>
      <c r="V238">
        <v>0</v>
      </c>
      <c r="W238">
        <v>1</v>
      </c>
      <c r="X238">
        <v>46495.4</v>
      </c>
      <c r="Y238">
        <v>9908</v>
      </c>
      <c r="Z238">
        <v>89.4</v>
      </c>
      <c r="AA238">
        <v>3.7</v>
      </c>
      <c r="AB238">
        <f t="shared" si="15"/>
        <v>789498.24758271046</v>
      </c>
    </row>
    <row r="239" spans="1:28">
      <c r="A239" t="s">
        <v>81</v>
      </c>
      <c r="B239" s="2">
        <v>45689</v>
      </c>
      <c r="C239" t="s">
        <v>27</v>
      </c>
      <c r="D239">
        <f t="shared" si="12"/>
        <v>0</v>
      </c>
      <c r="E239">
        <f t="shared" si="13"/>
        <v>0</v>
      </c>
      <c r="F239">
        <f t="shared" si="14"/>
        <v>1</v>
      </c>
      <c r="G239" t="s">
        <v>28</v>
      </c>
      <c r="H239">
        <v>72961.95</v>
      </c>
      <c r="I239">
        <v>9996</v>
      </c>
      <c r="J239">
        <v>0.106</v>
      </c>
      <c r="K239">
        <v>22</v>
      </c>
      <c r="L239">
        <v>89.1</v>
      </c>
      <c r="M239">
        <v>15.66</v>
      </c>
      <c r="N239">
        <v>0</v>
      </c>
      <c r="O239">
        <v>3.4</v>
      </c>
      <c r="P239">
        <v>810355.02</v>
      </c>
      <c r="Q239">
        <v>131510</v>
      </c>
      <c r="U239">
        <v>0</v>
      </c>
      <c r="V239">
        <v>0</v>
      </c>
      <c r="W239">
        <v>1</v>
      </c>
      <c r="X239">
        <v>72961.95</v>
      </c>
      <c r="Y239">
        <v>9996</v>
      </c>
      <c r="Z239">
        <v>89.1</v>
      </c>
      <c r="AA239">
        <v>3.4</v>
      </c>
      <c r="AB239">
        <f t="shared" si="15"/>
        <v>820135.37301392318</v>
      </c>
    </row>
    <row r="240" spans="1:28">
      <c r="A240" t="s">
        <v>81</v>
      </c>
      <c r="B240" s="2">
        <v>45717</v>
      </c>
      <c r="C240" t="s">
        <v>27</v>
      </c>
      <c r="D240">
        <f t="shared" si="12"/>
        <v>0</v>
      </c>
      <c r="E240">
        <f t="shared" si="13"/>
        <v>0</v>
      </c>
      <c r="F240">
        <f t="shared" si="14"/>
        <v>1</v>
      </c>
      <c r="G240" t="s">
        <v>28</v>
      </c>
      <c r="H240">
        <v>59060.05</v>
      </c>
      <c r="I240">
        <v>9702</v>
      </c>
      <c r="J240">
        <v>0.20100000000000001</v>
      </c>
      <c r="K240">
        <v>23</v>
      </c>
      <c r="L240">
        <v>80.900000000000006</v>
      </c>
      <c r="M240">
        <v>6.96</v>
      </c>
      <c r="N240">
        <v>0</v>
      </c>
      <c r="O240">
        <v>3.2</v>
      </c>
      <c r="P240">
        <v>761919.25</v>
      </c>
      <c r="Q240">
        <v>111893.06</v>
      </c>
      <c r="U240">
        <v>0</v>
      </c>
      <c r="V240">
        <v>0</v>
      </c>
      <c r="W240">
        <v>1</v>
      </c>
      <c r="X240">
        <v>59060.05</v>
      </c>
      <c r="Y240">
        <v>9702</v>
      </c>
      <c r="Z240">
        <v>80.900000000000006</v>
      </c>
      <c r="AA240">
        <v>3.2</v>
      </c>
      <c r="AB240">
        <f t="shared" si="15"/>
        <v>767553.89470628882</v>
      </c>
    </row>
    <row r="241" spans="1:28">
      <c r="A241" t="s">
        <v>81</v>
      </c>
      <c r="B241" s="2">
        <v>45748</v>
      </c>
      <c r="C241" t="s">
        <v>27</v>
      </c>
      <c r="D241">
        <f t="shared" si="12"/>
        <v>0</v>
      </c>
      <c r="E241">
        <f t="shared" si="13"/>
        <v>0</v>
      </c>
      <c r="F241">
        <f t="shared" si="14"/>
        <v>1</v>
      </c>
      <c r="G241" t="s">
        <v>28</v>
      </c>
      <c r="H241">
        <v>26248.1</v>
      </c>
      <c r="I241">
        <v>9314</v>
      </c>
      <c r="J241">
        <v>0.186</v>
      </c>
      <c r="K241">
        <v>21</v>
      </c>
      <c r="L241">
        <v>83.7</v>
      </c>
      <c r="M241">
        <v>4.62</v>
      </c>
      <c r="N241">
        <v>0</v>
      </c>
      <c r="O241">
        <v>3.3</v>
      </c>
      <c r="P241">
        <v>737070.18</v>
      </c>
      <c r="Q241">
        <v>117593.97</v>
      </c>
      <c r="U241">
        <v>0</v>
      </c>
      <c r="V241">
        <v>0</v>
      </c>
      <c r="W241">
        <v>1</v>
      </c>
      <c r="X241">
        <v>26248.1</v>
      </c>
      <c r="Y241">
        <v>9314</v>
      </c>
      <c r="Z241">
        <v>83.7</v>
      </c>
      <c r="AA241">
        <v>3.3</v>
      </c>
      <c r="AB241">
        <f t="shared" si="15"/>
        <v>724104.42548400559</v>
      </c>
    </row>
    <row r="242" spans="1:28">
      <c r="A242" t="s">
        <v>82</v>
      </c>
      <c r="B242" s="2">
        <v>45658</v>
      </c>
      <c r="C242" t="s">
        <v>24</v>
      </c>
      <c r="D242">
        <f t="shared" si="12"/>
        <v>0</v>
      </c>
      <c r="E242">
        <f t="shared" si="13"/>
        <v>1</v>
      </c>
      <c r="F242">
        <f t="shared" si="14"/>
        <v>0</v>
      </c>
      <c r="G242" t="s">
        <v>21</v>
      </c>
      <c r="H242">
        <v>69900.12</v>
      </c>
      <c r="I242">
        <v>8055</v>
      </c>
      <c r="J242">
        <v>0.28100000000000003</v>
      </c>
      <c r="K242">
        <v>22</v>
      </c>
      <c r="L242">
        <v>85.6</v>
      </c>
      <c r="M242">
        <v>10.68</v>
      </c>
      <c r="N242">
        <v>1</v>
      </c>
      <c r="O242">
        <v>2.9</v>
      </c>
      <c r="P242">
        <v>776992.93</v>
      </c>
      <c r="Q242">
        <v>101598.32</v>
      </c>
      <c r="U242">
        <v>0</v>
      </c>
      <c r="V242">
        <v>1</v>
      </c>
      <c r="W242">
        <v>0</v>
      </c>
      <c r="X242">
        <v>69900.12</v>
      </c>
      <c r="Y242">
        <v>8055</v>
      </c>
      <c r="Z242">
        <v>85.6</v>
      </c>
      <c r="AA242">
        <v>2.9</v>
      </c>
      <c r="AB242">
        <f t="shared" si="15"/>
        <v>739804.29439335514</v>
      </c>
    </row>
    <row r="243" spans="1:28">
      <c r="A243" t="s">
        <v>82</v>
      </c>
      <c r="B243" s="2">
        <v>45689</v>
      </c>
      <c r="C243" t="s">
        <v>24</v>
      </c>
      <c r="D243">
        <f t="shared" si="12"/>
        <v>0</v>
      </c>
      <c r="E243">
        <f t="shared" si="13"/>
        <v>1</v>
      </c>
      <c r="F243">
        <f t="shared" si="14"/>
        <v>0</v>
      </c>
      <c r="G243" t="s">
        <v>21</v>
      </c>
      <c r="H243">
        <v>51781.599999999999</v>
      </c>
      <c r="I243">
        <v>5648</v>
      </c>
      <c r="J243">
        <v>5.8999999999999997E-2</v>
      </c>
      <c r="K243">
        <v>13</v>
      </c>
      <c r="L243">
        <v>85.5</v>
      </c>
      <c r="M243">
        <v>4.04</v>
      </c>
      <c r="N243">
        <v>0</v>
      </c>
      <c r="O243">
        <v>3.7</v>
      </c>
      <c r="P243">
        <v>676337.41</v>
      </c>
      <c r="Q243">
        <v>104355.77</v>
      </c>
      <c r="U243">
        <v>0</v>
      </c>
      <c r="V243">
        <v>1</v>
      </c>
      <c r="W243">
        <v>0</v>
      </c>
      <c r="X243">
        <v>51781.599999999999</v>
      </c>
      <c r="Y243">
        <v>5648</v>
      </c>
      <c r="Z243">
        <v>85.5</v>
      </c>
      <c r="AA243">
        <v>3.7</v>
      </c>
      <c r="AB243">
        <f t="shared" si="15"/>
        <v>644752.09365512163</v>
      </c>
    </row>
    <row r="244" spans="1:28">
      <c r="A244" t="s">
        <v>82</v>
      </c>
      <c r="B244" s="2">
        <v>45717</v>
      </c>
      <c r="C244" t="s">
        <v>24</v>
      </c>
      <c r="D244">
        <f t="shared" si="12"/>
        <v>0</v>
      </c>
      <c r="E244">
        <f t="shared" si="13"/>
        <v>1</v>
      </c>
      <c r="F244">
        <f t="shared" si="14"/>
        <v>0</v>
      </c>
      <c r="G244" t="s">
        <v>21</v>
      </c>
      <c r="H244">
        <v>70799.64</v>
      </c>
      <c r="I244">
        <v>10076</v>
      </c>
      <c r="J244">
        <v>0.152</v>
      </c>
      <c r="K244">
        <v>24</v>
      </c>
      <c r="L244">
        <v>84.8</v>
      </c>
      <c r="M244">
        <v>1.87</v>
      </c>
      <c r="N244">
        <v>0</v>
      </c>
      <c r="O244">
        <v>3.5</v>
      </c>
      <c r="P244">
        <v>828219.67</v>
      </c>
      <c r="Q244">
        <v>179806.87</v>
      </c>
      <c r="U244">
        <v>0</v>
      </c>
      <c r="V244">
        <v>1</v>
      </c>
      <c r="W244">
        <v>0</v>
      </c>
      <c r="X244">
        <v>70799.64</v>
      </c>
      <c r="Y244">
        <v>10076</v>
      </c>
      <c r="Z244">
        <v>84.8</v>
      </c>
      <c r="AA244">
        <v>3.5</v>
      </c>
      <c r="AB244">
        <f t="shared" si="15"/>
        <v>813873.55233366461</v>
      </c>
    </row>
    <row r="245" spans="1:28">
      <c r="A245" t="s">
        <v>82</v>
      </c>
      <c r="B245" s="2">
        <v>45748</v>
      </c>
      <c r="C245" t="s">
        <v>24</v>
      </c>
      <c r="D245">
        <f t="shared" si="12"/>
        <v>0</v>
      </c>
      <c r="E245">
        <f t="shared" si="13"/>
        <v>1</v>
      </c>
      <c r="F245">
        <f t="shared" si="14"/>
        <v>0</v>
      </c>
      <c r="G245" t="s">
        <v>21</v>
      </c>
      <c r="H245">
        <v>53546.34</v>
      </c>
      <c r="I245">
        <v>8004</v>
      </c>
      <c r="J245">
        <v>0</v>
      </c>
      <c r="K245">
        <v>21</v>
      </c>
      <c r="L245">
        <v>95.2</v>
      </c>
      <c r="M245">
        <v>2.83</v>
      </c>
      <c r="N245">
        <v>0</v>
      </c>
      <c r="O245">
        <v>3</v>
      </c>
      <c r="P245">
        <v>763159.92</v>
      </c>
      <c r="Q245">
        <v>177104.87</v>
      </c>
      <c r="U245">
        <v>0</v>
      </c>
      <c r="V245">
        <v>1</v>
      </c>
      <c r="W245">
        <v>0</v>
      </c>
      <c r="X245">
        <v>53546.34</v>
      </c>
      <c r="Y245">
        <v>8004</v>
      </c>
      <c r="Z245">
        <v>95.2</v>
      </c>
      <c r="AA245">
        <v>3</v>
      </c>
      <c r="AB245">
        <f t="shared" si="15"/>
        <v>747224.53519036388</v>
      </c>
    </row>
    <row r="246" spans="1:28">
      <c r="A246" t="s">
        <v>83</v>
      </c>
      <c r="B246" s="2">
        <v>45658</v>
      </c>
      <c r="C246" t="s">
        <v>15</v>
      </c>
      <c r="D246">
        <f t="shared" si="12"/>
        <v>0</v>
      </c>
      <c r="E246">
        <f t="shared" si="13"/>
        <v>0</v>
      </c>
      <c r="F246">
        <f t="shared" si="14"/>
        <v>0</v>
      </c>
      <c r="G246" t="s">
        <v>18</v>
      </c>
      <c r="H246">
        <v>76942.2</v>
      </c>
      <c r="I246">
        <v>8934</v>
      </c>
      <c r="J246">
        <v>8.4000000000000005E-2</v>
      </c>
      <c r="K246">
        <v>20</v>
      </c>
      <c r="L246">
        <v>91</v>
      </c>
      <c r="M246">
        <v>0.95</v>
      </c>
      <c r="N246">
        <v>0</v>
      </c>
      <c r="O246">
        <v>3.2</v>
      </c>
      <c r="P246">
        <v>802001.68</v>
      </c>
      <c r="Q246">
        <v>159715.82</v>
      </c>
      <c r="U246">
        <v>0</v>
      </c>
      <c r="V246">
        <v>0</v>
      </c>
      <c r="W246">
        <v>0</v>
      </c>
      <c r="X246">
        <v>76942.2</v>
      </c>
      <c r="Y246">
        <v>8934</v>
      </c>
      <c r="Z246">
        <v>91</v>
      </c>
      <c r="AA246">
        <v>3.2</v>
      </c>
      <c r="AB246">
        <f t="shared" si="15"/>
        <v>775066.40566188726</v>
      </c>
    </row>
    <row r="247" spans="1:28">
      <c r="A247" t="s">
        <v>83</v>
      </c>
      <c r="B247" s="2">
        <v>45689</v>
      </c>
      <c r="C247" t="s">
        <v>15</v>
      </c>
      <c r="D247">
        <f t="shared" si="12"/>
        <v>0</v>
      </c>
      <c r="E247">
        <f t="shared" si="13"/>
        <v>0</v>
      </c>
      <c r="F247">
        <f t="shared" si="14"/>
        <v>0</v>
      </c>
      <c r="G247" t="s">
        <v>18</v>
      </c>
      <c r="H247">
        <v>48060.78</v>
      </c>
      <c r="I247">
        <v>8733</v>
      </c>
      <c r="J247">
        <v>0</v>
      </c>
      <c r="K247">
        <v>20</v>
      </c>
      <c r="L247">
        <v>89.9</v>
      </c>
      <c r="M247">
        <v>0.8</v>
      </c>
      <c r="N247">
        <v>0</v>
      </c>
      <c r="O247">
        <v>3.4</v>
      </c>
      <c r="P247">
        <v>750471.34</v>
      </c>
      <c r="Q247">
        <v>133788.04</v>
      </c>
      <c r="U247">
        <v>0</v>
      </c>
      <c r="V247">
        <v>0</v>
      </c>
      <c r="W247">
        <v>0</v>
      </c>
      <c r="X247">
        <v>48060.78</v>
      </c>
      <c r="Y247">
        <v>8733</v>
      </c>
      <c r="Z247">
        <v>89.9</v>
      </c>
      <c r="AA247">
        <v>3.4</v>
      </c>
      <c r="AB247">
        <f t="shared" si="15"/>
        <v>732541.79770428326</v>
      </c>
    </row>
    <row r="248" spans="1:28">
      <c r="A248" t="s">
        <v>83</v>
      </c>
      <c r="B248" s="2">
        <v>45717</v>
      </c>
      <c r="C248" t="s">
        <v>15</v>
      </c>
      <c r="D248">
        <f t="shared" si="12"/>
        <v>0</v>
      </c>
      <c r="E248">
        <f t="shared" si="13"/>
        <v>0</v>
      </c>
      <c r="F248">
        <f t="shared" si="14"/>
        <v>0</v>
      </c>
      <c r="G248" t="s">
        <v>18</v>
      </c>
      <c r="H248">
        <v>57390.04</v>
      </c>
      <c r="I248">
        <v>7374</v>
      </c>
      <c r="J248">
        <v>0.21</v>
      </c>
      <c r="K248">
        <v>21</v>
      </c>
      <c r="L248">
        <v>91.8</v>
      </c>
      <c r="M248">
        <v>0.2</v>
      </c>
      <c r="N248">
        <v>0</v>
      </c>
      <c r="O248">
        <v>3.1</v>
      </c>
      <c r="P248">
        <v>679230.86</v>
      </c>
      <c r="Q248">
        <v>106927.58</v>
      </c>
      <c r="U248">
        <v>0</v>
      </c>
      <c r="V248">
        <v>0</v>
      </c>
      <c r="W248">
        <v>0</v>
      </c>
      <c r="X248">
        <v>57390.04</v>
      </c>
      <c r="Y248">
        <v>7374</v>
      </c>
      <c r="Z248">
        <v>91.8</v>
      </c>
      <c r="AA248">
        <v>3.1</v>
      </c>
      <c r="AB248">
        <f t="shared" si="15"/>
        <v>699750.81277279509</v>
      </c>
    </row>
    <row r="249" spans="1:28">
      <c r="A249" t="s">
        <v>83</v>
      </c>
      <c r="B249" s="2">
        <v>45748</v>
      </c>
      <c r="C249" t="s">
        <v>15</v>
      </c>
      <c r="D249">
        <f t="shared" si="12"/>
        <v>0</v>
      </c>
      <c r="E249">
        <f t="shared" si="13"/>
        <v>0</v>
      </c>
      <c r="F249">
        <f t="shared" si="14"/>
        <v>0</v>
      </c>
      <c r="G249" t="s">
        <v>18</v>
      </c>
      <c r="H249">
        <v>21536.18</v>
      </c>
      <c r="I249">
        <v>8119</v>
      </c>
      <c r="J249">
        <v>0.22700000000000001</v>
      </c>
      <c r="K249">
        <v>20</v>
      </c>
      <c r="L249">
        <v>90.4</v>
      </c>
      <c r="M249">
        <v>1.7</v>
      </c>
      <c r="N249">
        <v>0</v>
      </c>
      <c r="O249">
        <v>3.3</v>
      </c>
      <c r="P249">
        <v>679888.74</v>
      </c>
      <c r="Q249">
        <v>83406.89</v>
      </c>
      <c r="U249">
        <v>0</v>
      </c>
      <c r="V249">
        <v>0</v>
      </c>
      <c r="W249">
        <v>0</v>
      </c>
      <c r="X249">
        <v>21536.18</v>
      </c>
      <c r="Y249">
        <v>8119</v>
      </c>
      <c r="Z249">
        <v>90.4</v>
      </c>
      <c r="AA249">
        <v>3.3</v>
      </c>
      <c r="AB249">
        <f t="shared" si="15"/>
        <v>680126.51210481371</v>
      </c>
    </row>
    <row r="250" spans="1:28">
      <c r="A250" t="s">
        <v>84</v>
      </c>
      <c r="B250" s="2">
        <v>45658</v>
      </c>
      <c r="C250" t="s">
        <v>20</v>
      </c>
      <c r="D250">
        <f t="shared" si="12"/>
        <v>1</v>
      </c>
      <c r="E250">
        <f t="shared" si="13"/>
        <v>0</v>
      </c>
      <c r="F250">
        <f t="shared" si="14"/>
        <v>0</v>
      </c>
      <c r="G250" t="s">
        <v>18</v>
      </c>
      <c r="H250">
        <v>40923.67</v>
      </c>
      <c r="I250">
        <v>3875</v>
      </c>
      <c r="J250">
        <v>0.15</v>
      </c>
      <c r="K250">
        <v>10</v>
      </c>
      <c r="L250">
        <v>96.1</v>
      </c>
      <c r="M250">
        <v>4.5590445859872624</v>
      </c>
      <c r="N250">
        <v>0</v>
      </c>
      <c r="O250">
        <v>3.8</v>
      </c>
      <c r="P250">
        <v>606783.67000000004</v>
      </c>
      <c r="Q250">
        <v>74515.87</v>
      </c>
      <c r="U250">
        <v>1</v>
      </c>
      <c r="V250">
        <v>0</v>
      </c>
      <c r="W250">
        <v>0</v>
      </c>
      <c r="X250">
        <v>40923.67</v>
      </c>
      <c r="Y250">
        <v>3875</v>
      </c>
      <c r="Z250">
        <v>96.1</v>
      </c>
      <c r="AA250">
        <v>3.8</v>
      </c>
      <c r="AB250">
        <f t="shared" si="15"/>
        <v>589840.39629195991</v>
      </c>
    </row>
    <row r="251" spans="1:28">
      <c r="A251" t="s">
        <v>84</v>
      </c>
      <c r="B251" s="2">
        <v>45689</v>
      </c>
      <c r="C251" t="s">
        <v>20</v>
      </c>
      <c r="D251">
        <f t="shared" si="12"/>
        <v>1</v>
      </c>
      <c r="E251">
        <f t="shared" si="13"/>
        <v>0</v>
      </c>
      <c r="F251">
        <f t="shared" si="14"/>
        <v>0</v>
      </c>
      <c r="G251" t="s">
        <v>18</v>
      </c>
      <c r="H251">
        <v>72932.55</v>
      </c>
      <c r="I251">
        <v>5765</v>
      </c>
      <c r="J251">
        <v>2.5999999999999999E-2</v>
      </c>
      <c r="K251">
        <v>17</v>
      </c>
      <c r="L251">
        <v>81.8</v>
      </c>
      <c r="M251">
        <v>5.0999999999999996</v>
      </c>
      <c r="N251">
        <v>0</v>
      </c>
      <c r="O251">
        <v>3.6</v>
      </c>
      <c r="P251">
        <v>642751.42000000004</v>
      </c>
      <c r="Q251">
        <v>131942.15</v>
      </c>
      <c r="U251">
        <v>1</v>
      </c>
      <c r="V251">
        <v>0</v>
      </c>
      <c r="W251">
        <v>0</v>
      </c>
      <c r="X251">
        <v>72932.55</v>
      </c>
      <c r="Y251">
        <v>5765</v>
      </c>
      <c r="Z251">
        <v>81.8</v>
      </c>
      <c r="AA251">
        <v>3.6</v>
      </c>
      <c r="AB251">
        <f t="shared" si="15"/>
        <v>649068.76104123879</v>
      </c>
    </row>
    <row r="252" spans="1:28">
      <c r="A252" t="s">
        <v>84</v>
      </c>
      <c r="B252" s="2">
        <v>45717</v>
      </c>
      <c r="C252" t="s">
        <v>20</v>
      </c>
      <c r="D252">
        <f t="shared" si="12"/>
        <v>1</v>
      </c>
      <c r="E252">
        <f t="shared" si="13"/>
        <v>0</v>
      </c>
      <c r="F252">
        <f t="shared" si="14"/>
        <v>0</v>
      </c>
      <c r="G252" t="s">
        <v>18</v>
      </c>
      <c r="H252">
        <v>38361.93</v>
      </c>
      <c r="I252">
        <v>6322</v>
      </c>
      <c r="J252">
        <v>0.27300000000000002</v>
      </c>
      <c r="K252">
        <v>15</v>
      </c>
      <c r="L252">
        <v>88.4</v>
      </c>
      <c r="M252">
        <v>0.83</v>
      </c>
      <c r="N252">
        <v>0</v>
      </c>
      <c r="O252">
        <v>4</v>
      </c>
      <c r="P252">
        <v>647953.78</v>
      </c>
      <c r="Q252">
        <v>118497.43</v>
      </c>
      <c r="U252">
        <v>1</v>
      </c>
      <c r="V252">
        <v>0</v>
      </c>
      <c r="W252">
        <v>0</v>
      </c>
      <c r="X252">
        <v>38361.93</v>
      </c>
      <c r="Y252">
        <v>6322</v>
      </c>
      <c r="Z252">
        <v>88.4</v>
      </c>
      <c r="AA252">
        <v>4</v>
      </c>
      <c r="AB252">
        <f t="shared" si="15"/>
        <v>649897.10113463574</v>
      </c>
    </row>
    <row r="253" spans="1:28">
      <c r="A253" t="s">
        <v>84</v>
      </c>
      <c r="B253" s="2">
        <v>45748</v>
      </c>
      <c r="C253" t="s">
        <v>20</v>
      </c>
      <c r="D253">
        <f t="shared" si="12"/>
        <v>1</v>
      </c>
      <c r="E253">
        <f t="shared" si="13"/>
        <v>0</v>
      </c>
      <c r="F253">
        <f t="shared" si="14"/>
        <v>0</v>
      </c>
      <c r="G253" t="s">
        <v>18</v>
      </c>
      <c r="H253">
        <v>97480.94</v>
      </c>
      <c r="I253">
        <v>6840</v>
      </c>
      <c r="J253">
        <v>8.6999999999999994E-2</v>
      </c>
      <c r="K253">
        <v>14</v>
      </c>
      <c r="L253">
        <v>79.2</v>
      </c>
      <c r="M253">
        <v>1.1399999999999999</v>
      </c>
      <c r="N253">
        <v>0</v>
      </c>
      <c r="O253">
        <v>4</v>
      </c>
      <c r="P253">
        <v>729440.45</v>
      </c>
      <c r="Q253">
        <v>87614.29</v>
      </c>
      <c r="U253">
        <v>1</v>
      </c>
      <c r="V253">
        <v>0</v>
      </c>
      <c r="W253">
        <v>0</v>
      </c>
      <c r="X253">
        <v>97480.94</v>
      </c>
      <c r="Y253">
        <v>6840</v>
      </c>
      <c r="Z253">
        <v>79.2</v>
      </c>
      <c r="AA253">
        <v>4</v>
      </c>
      <c r="AB253">
        <f t="shared" si="15"/>
        <v>712020.19851565349</v>
      </c>
    </row>
    <row r="254" spans="1:28">
      <c r="A254" t="s">
        <v>85</v>
      </c>
      <c r="B254" s="2">
        <v>45658</v>
      </c>
      <c r="C254" t="s">
        <v>24</v>
      </c>
      <c r="D254">
        <f t="shared" si="12"/>
        <v>0</v>
      </c>
      <c r="E254">
        <f t="shared" si="13"/>
        <v>1</v>
      </c>
      <c r="F254">
        <f t="shared" si="14"/>
        <v>0</v>
      </c>
      <c r="G254" t="s">
        <v>21</v>
      </c>
      <c r="H254">
        <v>81801.8</v>
      </c>
      <c r="I254">
        <v>6782</v>
      </c>
      <c r="J254">
        <v>0.05</v>
      </c>
      <c r="K254">
        <v>16</v>
      </c>
      <c r="L254">
        <v>99</v>
      </c>
      <c r="M254">
        <v>9.5399999999999991</v>
      </c>
      <c r="N254">
        <v>0</v>
      </c>
      <c r="O254">
        <v>3.7</v>
      </c>
      <c r="P254">
        <v>764949</v>
      </c>
      <c r="Q254">
        <v>148322.43</v>
      </c>
      <c r="U254">
        <v>0</v>
      </c>
      <c r="V254">
        <v>1</v>
      </c>
      <c r="W254">
        <v>0</v>
      </c>
      <c r="X254">
        <v>81801.8</v>
      </c>
      <c r="Y254">
        <v>6782</v>
      </c>
      <c r="Z254">
        <v>99</v>
      </c>
      <c r="AA254">
        <v>3.7</v>
      </c>
      <c r="AB254">
        <f t="shared" si="15"/>
        <v>758353.64621233684</v>
      </c>
    </row>
    <row r="255" spans="1:28">
      <c r="A255" t="s">
        <v>85</v>
      </c>
      <c r="B255" s="2">
        <v>45689</v>
      </c>
      <c r="C255" t="s">
        <v>24</v>
      </c>
      <c r="D255">
        <f t="shared" si="12"/>
        <v>0</v>
      </c>
      <c r="E255">
        <f t="shared" si="13"/>
        <v>1</v>
      </c>
      <c r="F255">
        <f t="shared" si="14"/>
        <v>0</v>
      </c>
      <c r="G255" t="s">
        <v>21</v>
      </c>
      <c r="H255">
        <v>63582.11</v>
      </c>
      <c r="I255">
        <v>6856</v>
      </c>
      <c r="J255">
        <v>7.3999999999999996E-2</v>
      </c>
      <c r="K255">
        <v>17</v>
      </c>
      <c r="L255">
        <v>89.5</v>
      </c>
      <c r="M255">
        <v>5.48</v>
      </c>
      <c r="N255">
        <v>0</v>
      </c>
      <c r="O255">
        <v>3.2</v>
      </c>
      <c r="P255">
        <v>799046.94</v>
      </c>
      <c r="Q255">
        <v>144553.64000000001</v>
      </c>
      <c r="U255">
        <v>0</v>
      </c>
      <c r="V255">
        <v>1</v>
      </c>
      <c r="W255">
        <v>0</v>
      </c>
      <c r="X255">
        <v>63582.11</v>
      </c>
      <c r="Y255">
        <v>6856</v>
      </c>
      <c r="Z255">
        <v>89.5</v>
      </c>
      <c r="AA255">
        <v>3.2</v>
      </c>
      <c r="AB255">
        <f t="shared" si="15"/>
        <v>706026.95808458328</v>
      </c>
    </row>
    <row r="256" spans="1:28">
      <c r="A256" t="s">
        <v>85</v>
      </c>
      <c r="B256" s="2">
        <v>45717</v>
      </c>
      <c r="C256" t="s">
        <v>24</v>
      </c>
      <c r="D256">
        <f t="shared" si="12"/>
        <v>0</v>
      </c>
      <c r="E256">
        <f t="shared" si="13"/>
        <v>1</v>
      </c>
      <c r="F256">
        <f t="shared" si="14"/>
        <v>0</v>
      </c>
      <c r="G256" t="s">
        <v>21</v>
      </c>
      <c r="H256">
        <v>75412.740000000005</v>
      </c>
      <c r="I256">
        <v>5641</v>
      </c>
      <c r="J256">
        <v>5.8999999999999997E-2</v>
      </c>
      <c r="K256">
        <v>13</v>
      </c>
      <c r="L256">
        <v>87.9</v>
      </c>
      <c r="M256">
        <v>0.84</v>
      </c>
      <c r="N256">
        <v>0</v>
      </c>
      <c r="O256">
        <v>3.6</v>
      </c>
      <c r="P256">
        <v>720079.54</v>
      </c>
      <c r="Q256">
        <v>119499.47</v>
      </c>
      <c r="U256">
        <v>0</v>
      </c>
      <c r="V256">
        <v>1</v>
      </c>
      <c r="W256">
        <v>0</v>
      </c>
      <c r="X256">
        <v>75412.740000000005</v>
      </c>
      <c r="Y256">
        <v>5641</v>
      </c>
      <c r="Z256">
        <v>87.9</v>
      </c>
      <c r="AA256">
        <v>3.6</v>
      </c>
      <c r="AB256">
        <f t="shared" si="15"/>
        <v>678750.9585549403</v>
      </c>
    </row>
    <row r="257" spans="1:28">
      <c r="A257" t="s">
        <v>85</v>
      </c>
      <c r="B257" s="2">
        <v>45748</v>
      </c>
      <c r="C257" t="s">
        <v>24</v>
      </c>
      <c r="D257">
        <f t="shared" si="12"/>
        <v>0</v>
      </c>
      <c r="E257">
        <f t="shared" si="13"/>
        <v>1</v>
      </c>
      <c r="F257">
        <f t="shared" si="14"/>
        <v>0</v>
      </c>
      <c r="G257" t="s">
        <v>21</v>
      </c>
      <c r="H257">
        <v>36290.080000000002</v>
      </c>
      <c r="I257">
        <v>5787</v>
      </c>
      <c r="J257">
        <v>0</v>
      </c>
      <c r="K257">
        <v>17</v>
      </c>
      <c r="L257">
        <v>88.3</v>
      </c>
      <c r="M257">
        <v>4.1900000000000004</v>
      </c>
      <c r="N257">
        <v>0</v>
      </c>
      <c r="O257">
        <v>4.0999999999999996</v>
      </c>
      <c r="P257">
        <v>612390.14</v>
      </c>
      <c r="Q257">
        <v>108985.74</v>
      </c>
      <c r="U257">
        <v>0</v>
      </c>
      <c r="V257">
        <v>1</v>
      </c>
      <c r="W257">
        <v>0</v>
      </c>
      <c r="X257">
        <v>36290.080000000002</v>
      </c>
      <c r="Y257">
        <v>5787</v>
      </c>
      <c r="Z257">
        <v>88.3</v>
      </c>
      <c r="AA257">
        <v>4.0999999999999996</v>
      </c>
      <c r="AB257">
        <f t="shared" si="15"/>
        <v>643343.71662702004</v>
      </c>
    </row>
    <row r="258" spans="1:28">
      <c r="A258" t="s">
        <v>86</v>
      </c>
      <c r="B258" s="2">
        <v>45658</v>
      </c>
      <c r="C258" t="s">
        <v>24</v>
      </c>
      <c r="D258">
        <f t="shared" si="12"/>
        <v>0</v>
      </c>
      <c r="E258">
        <f t="shared" si="13"/>
        <v>1</v>
      </c>
      <c r="F258">
        <f t="shared" si="14"/>
        <v>0</v>
      </c>
      <c r="G258" t="s">
        <v>28</v>
      </c>
      <c r="H258">
        <v>65272.58</v>
      </c>
      <c r="I258">
        <v>8165</v>
      </c>
      <c r="J258">
        <v>5.0999999999999997E-2</v>
      </c>
      <c r="K258">
        <v>19</v>
      </c>
      <c r="L258">
        <v>87.8</v>
      </c>
      <c r="M258">
        <v>1.26</v>
      </c>
      <c r="N258">
        <v>1</v>
      </c>
      <c r="O258">
        <v>4.3</v>
      </c>
      <c r="P258">
        <v>840108.12</v>
      </c>
      <c r="Q258">
        <v>126587.01</v>
      </c>
      <c r="U258">
        <v>0</v>
      </c>
      <c r="V258">
        <v>1</v>
      </c>
      <c r="W258">
        <v>0</v>
      </c>
      <c r="X258">
        <v>65272.58</v>
      </c>
      <c r="Y258">
        <v>8165</v>
      </c>
      <c r="Z258">
        <v>87.8</v>
      </c>
      <c r="AA258">
        <v>4.3</v>
      </c>
      <c r="AB258">
        <f t="shared" si="15"/>
        <v>759764.79752728005</v>
      </c>
    </row>
    <row r="259" spans="1:28">
      <c r="A259" t="s">
        <v>86</v>
      </c>
      <c r="B259" s="2">
        <v>45689</v>
      </c>
      <c r="C259" t="s">
        <v>24</v>
      </c>
      <c r="D259">
        <f t="shared" ref="D259:D321" si="16">IF(C259="North",1,0)</f>
        <v>0</v>
      </c>
      <c r="E259">
        <f t="shared" ref="E259:E321" si="17">IF(C259="South",1,0)</f>
        <v>1</v>
      </c>
      <c r="F259">
        <f t="shared" ref="F259:F321" si="18">IF(C259="West",1,0)</f>
        <v>0</v>
      </c>
      <c r="G259" t="s">
        <v>28</v>
      </c>
      <c r="H259">
        <v>28670.43</v>
      </c>
      <c r="I259">
        <v>7574</v>
      </c>
      <c r="J259">
        <v>0.114</v>
      </c>
      <c r="K259">
        <v>19</v>
      </c>
      <c r="L259">
        <v>82.7</v>
      </c>
      <c r="M259">
        <v>2.74</v>
      </c>
      <c r="N259">
        <v>0</v>
      </c>
      <c r="O259">
        <v>4.5999999999999996</v>
      </c>
      <c r="P259">
        <v>697888.09</v>
      </c>
      <c r="Q259">
        <v>116249.87</v>
      </c>
      <c r="U259">
        <v>0</v>
      </c>
      <c r="V259">
        <v>1</v>
      </c>
      <c r="W259">
        <v>0</v>
      </c>
      <c r="X259">
        <v>28670.43</v>
      </c>
      <c r="Y259">
        <v>7574</v>
      </c>
      <c r="Z259">
        <v>82.7</v>
      </c>
      <c r="AA259">
        <v>4.5999999999999996</v>
      </c>
      <c r="AB259">
        <f t="shared" ref="AB259:AB321" si="19">80972.67194
+(8667.122801*U259)
+(21972.42005*V259)
+(17042.83335*W259)
+(1.202273376*X259)
+(33.98425653*Y259)
+(2886.7347*Z259)
+(11024.99051*AA259)</f>
        <v>684259.4616516917</v>
      </c>
    </row>
    <row r="260" spans="1:28">
      <c r="A260" t="s">
        <v>86</v>
      </c>
      <c r="B260" s="2">
        <v>45717</v>
      </c>
      <c r="C260" t="s">
        <v>24</v>
      </c>
      <c r="D260">
        <f t="shared" si="16"/>
        <v>0</v>
      </c>
      <c r="E260">
        <f t="shared" si="17"/>
        <v>1</v>
      </c>
      <c r="F260">
        <f t="shared" si="18"/>
        <v>0</v>
      </c>
      <c r="G260" t="s">
        <v>28</v>
      </c>
      <c r="H260">
        <v>44189.34</v>
      </c>
      <c r="I260">
        <v>8634</v>
      </c>
      <c r="J260">
        <v>0.14299999999999999</v>
      </c>
      <c r="K260">
        <v>19</v>
      </c>
      <c r="L260">
        <v>87.5</v>
      </c>
      <c r="M260">
        <v>3.69</v>
      </c>
      <c r="N260">
        <v>0</v>
      </c>
      <c r="O260">
        <v>4.4000000000000004</v>
      </c>
      <c r="P260">
        <v>746115.59</v>
      </c>
      <c r="Q260">
        <v>94662.96</v>
      </c>
      <c r="U260">
        <v>0</v>
      </c>
      <c r="V260">
        <v>1</v>
      </c>
      <c r="W260">
        <v>0</v>
      </c>
      <c r="X260">
        <v>44189.34</v>
      </c>
      <c r="Y260">
        <v>8634</v>
      </c>
      <c r="Z260">
        <v>87.5</v>
      </c>
      <c r="AA260">
        <v>4.4000000000000004</v>
      </c>
      <c r="AB260">
        <f t="shared" si="19"/>
        <v>750592.0743490319</v>
      </c>
    </row>
    <row r="261" spans="1:28">
      <c r="A261" t="s">
        <v>86</v>
      </c>
      <c r="B261" s="2">
        <v>45748</v>
      </c>
      <c r="C261" t="s">
        <v>24</v>
      </c>
      <c r="D261">
        <f t="shared" si="16"/>
        <v>0</v>
      </c>
      <c r="E261">
        <f t="shared" si="17"/>
        <v>1</v>
      </c>
      <c r="F261">
        <f t="shared" si="18"/>
        <v>0</v>
      </c>
      <c r="G261" t="s">
        <v>28</v>
      </c>
      <c r="H261">
        <v>38397.82</v>
      </c>
      <c r="I261">
        <v>7836</v>
      </c>
      <c r="J261">
        <v>7.0000000000000001E-3</v>
      </c>
      <c r="K261">
        <v>21</v>
      </c>
      <c r="L261">
        <v>92.2</v>
      </c>
      <c r="M261">
        <v>1.82</v>
      </c>
      <c r="N261">
        <v>0</v>
      </c>
      <c r="O261">
        <v>3.6</v>
      </c>
      <c r="P261">
        <v>776110.32</v>
      </c>
      <c r="Q261">
        <v>139676.21</v>
      </c>
      <c r="U261">
        <v>0</v>
      </c>
      <c r="V261">
        <v>1</v>
      </c>
      <c r="W261">
        <v>0</v>
      </c>
      <c r="X261">
        <v>38397.82</v>
      </c>
      <c r="Y261">
        <v>7836</v>
      </c>
      <c r="Z261">
        <v>92.2</v>
      </c>
      <c r="AA261">
        <v>3.6</v>
      </c>
      <c r="AB261">
        <f t="shared" si="19"/>
        <v>721257.30801752035</v>
      </c>
    </row>
    <row r="262" spans="1:28">
      <c r="A262" t="s">
        <v>87</v>
      </c>
      <c r="B262" s="2">
        <v>45658</v>
      </c>
      <c r="C262" t="s">
        <v>27</v>
      </c>
      <c r="D262">
        <f t="shared" si="16"/>
        <v>0</v>
      </c>
      <c r="E262">
        <f t="shared" si="17"/>
        <v>0</v>
      </c>
      <c r="F262">
        <f t="shared" si="18"/>
        <v>1</v>
      </c>
      <c r="G262" t="s">
        <v>18</v>
      </c>
      <c r="H262">
        <v>14519.37</v>
      </c>
      <c r="I262">
        <v>3047</v>
      </c>
      <c r="J262">
        <v>0.13500000000000001</v>
      </c>
      <c r="K262">
        <v>10</v>
      </c>
      <c r="L262">
        <v>90.3</v>
      </c>
      <c r="M262">
        <v>6.62</v>
      </c>
      <c r="N262">
        <v>0</v>
      </c>
      <c r="O262">
        <v>4.2</v>
      </c>
      <c r="P262">
        <v>528852.62</v>
      </c>
      <c r="Q262">
        <v>68426.210000000006</v>
      </c>
      <c r="U262">
        <v>0</v>
      </c>
      <c r="V262">
        <v>0</v>
      </c>
      <c r="W262">
        <v>1</v>
      </c>
      <c r="X262">
        <v>14519.37</v>
      </c>
      <c r="Y262">
        <v>3047</v>
      </c>
      <c r="Z262">
        <v>90.3</v>
      </c>
      <c r="AA262">
        <v>4.2</v>
      </c>
      <c r="AB262">
        <f t="shared" si="19"/>
        <v>525998.89047620317</v>
      </c>
    </row>
    <row r="263" spans="1:28">
      <c r="A263" t="s">
        <v>87</v>
      </c>
      <c r="B263" s="2">
        <v>45689</v>
      </c>
      <c r="C263" t="s">
        <v>27</v>
      </c>
      <c r="D263">
        <f t="shared" si="16"/>
        <v>0</v>
      </c>
      <c r="E263">
        <f t="shared" si="17"/>
        <v>0</v>
      </c>
      <c r="F263">
        <f t="shared" si="18"/>
        <v>1</v>
      </c>
      <c r="G263" t="s">
        <v>18</v>
      </c>
      <c r="H263">
        <v>43288.2</v>
      </c>
      <c r="I263">
        <v>4783</v>
      </c>
      <c r="J263">
        <v>0.16900000000000001</v>
      </c>
      <c r="K263">
        <v>13</v>
      </c>
      <c r="L263">
        <v>87.3</v>
      </c>
      <c r="M263">
        <v>4.5590445859872624</v>
      </c>
      <c r="N263">
        <v>0</v>
      </c>
      <c r="O263">
        <v>4.2</v>
      </c>
      <c r="P263">
        <v>605751.32999999996</v>
      </c>
      <c r="Q263">
        <v>60685.53</v>
      </c>
      <c r="U263">
        <v>0</v>
      </c>
      <c r="V263">
        <v>0</v>
      </c>
      <c r="W263">
        <v>1</v>
      </c>
      <c r="X263">
        <v>43288.2</v>
      </c>
      <c r="Y263">
        <v>4783</v>
      </c>
      <c r="Z263">
        <v>87.3</v>
      </c>
      <c r="AA263">
        <v>4.2</v>
      </c>
      <c r="AB263">
        <f t="shared" si="19"/>
        <v>610923.35407995328</v>
      </c>
    </row>
    <row r="264" spans="1:28">
      <c r="A264" t="s">
        <v>87</v>
      </c>
      <c r="B264" s="2">
        <v>45717</v>
      </c>
      <c r="C264" t="s">
        <v>27</v>
      </c>
      <c r="D264">
        <f t="shared" si="16"/>
        <v>0</v>
      </c>
      <c r="E264">
        <f t="shared" si="17"/>
        <v>0</v>
      </c>
      <c r="F264">
        <f t="shared" si="18"/>
        <v>1</v>
      </c>
      <c r="G264" t="s">
        <v>18</v>
      </c>
      <c r="H264">
        <v>51450.55</v>
      </c>
      <c r="I264">
        <v>4902</v>
      </c>
      <c r="J264">
        <v>8.5999999999999993E-2</v>
      </c>
      <c r="K264">
        <v>11</v>
      </c>
      <c r="L264">
        <v>83.7</v>
      </c>
      <c r="M264">
        <v>6.92</v>
      </c>
      <c r="N264">
        <v>1</v>
      </c>
      <c r="O264">
        <v>4.2</v>
      </c>
      <c r="P264">
        <v>677640.65</v>
      </c>
      <c r="Q264">
        <v>111610.89</v>
      </c>
      <c r="U264">
        <v>0</v>
      </c>
      <c r="V264">
        <v>0</v>
      </c>
      <c r="W264">
        <v>1</v>
      </c>
      <c r="X264">
        <v>51450.55</v>
      </c>
      <c r="Y264">
        <v>4902</v>
      </c>
      <c r="Z264">
        <v>83.7</v>
      </c>
      <c r="AA264">
        <v>4.2</v>
      </c>
      <c r="AB264">
        <f t="shared" si="19"/>
        <v>614388.61177761678</v>
      </c>
    </row>
    <row r="265" spans="1:28">
      <c r="A265" t="s">
        <v>87</v>
      </c>
      <c r="B265" s="2">
        <v>45748</v>
      </c>
      <c r="C265" t="s">
        <v>27</v>
      </c>
      <c r="D265">
        <f t="shared" si="16"/>
        <v>0</v>
      </c>
      <c r="E265">
        <f t="shared" si="17"/>
        <v>0</v>
      </c>
      <c r="F265">
        <f t="shared" si="18"/>
        <v>1</v>
      </c>
      <c r="G265" t="s">
        <v>18</v>
      </c>
      <c r="H265">
        <v>58688.26</v>
      </c>
      <c r="I265">
        <v>4022</v>
      </c>
      <c r="J265">
        <v>0.217</v>
      </c>
      <c r="K265">
        <v>12</v>
      </c>
      <c r="L265">
        <v>93.8</v>
      </c>
      <c r="M265">
        <v>11.78</v>
      </c>
      <c r="N265">
        <v>0</v>
      </c>
      <c r="O265">
        <v>3.7</v>
      </c>
      <c r="P265">
        <v>636613.23</v>
      </c>
      <c r="Q265">
        <v>78908.350000000006</v>
      </c>
      <c r="U265">
        <v>0</v>
      </c>
      <c r="V265">
        <v>0</v>
      </c>
      <c r="W265">
        <v>1</v>
      </c>
      <c r="X265">
        <v>58688.26</v>
      </c>
      <c r="Y265">
        <v>4022</v>
      </c>
      <c r="Z265">
        <v>93.8</v>
      </c>
      <c r="AA265">
        <v>3.7</v>
      </c>
      <c r="AB265">
        <f t="shared" si="19"/>
        <v>616827.69728242583</v>
      </c>
    </row>
    <row r="266" spans="1:28">
      <c r="A266" t="s">
        <v>88</v>
      </c>
      <c r="B266" s="2">
        <v>45658</v>
      </c>
      <c r="C266" t="s">
        <v>15</v>
      </c>
      <c r="D266">
        <f t="shared" si="16"/>
        <v>0</v>
      </c>
      <c r="E266">
        <f t="shared" si="17"/>
        <v>0</v>
      </c>
      <c r="F266">
        <f t="shared" si="18"/>
        <v>0</v>
      </c>
      <c r="G266" t="s">
        <v>18</v>
      </c>
      <c r="H266">
        <v>58981.91</v>
      </c>
      <c r="I266">
        <v>7324</v>
      </c>
      <c r="J266">
        <v>9.4E-2</v>
      </c>
      <c r="K266">
        <v>15</v>
      </c>
      <c r="L266">
        <v>95.8</v>
      </c>
      <c r="M266">
        <v>0.5</v>
      </c>
      <c r="N266">
        <v>0</v>
      </c>
      <c r="O266">
        <v>3.5</v>
      </c>
      <c r="P266">
        <v>708985.19</v>
      </c>
      <c r="Q266">
        <v>125368.16</v>
      </c>
      <c r="U266">
        <v>0</v>
      </c>
      <c r="V266">
        <v>0</v>
      </c>
      <c r="W266">
        <v>0</v>
      </c>
      <c r="X266">
        <v>58981.91</v>
      </c>
      <c r="Y266">
        <v>7324</v>
      </c>
      <c r="Z266">
        <v>95.8</v>
      </c>
      <c r="AA266">
        <v>3.5</v>
      </c>
      <c r="AB266">
        <f t="shared" si="19"/>
        <v>715922.39786934806</v>
      </c>
    </row>
    <row r="267" spans="1:28">
      <c r="A267" t="s">
        <v>88</v>
      </c>
      <c r="B267" s="2">
        <v>45689</v>
      </c>
      <c r="C267" t="s">
        <v>15</v>
      </c>
      <c r="D267">
        <f t="shared" si="16"/>
        <v>0</v>
      </c>
      <c r="E267">
        <f t="shared" si="17"/>
        <v>0</v>
      </c>
      <c r="F267">
        <f t="shared" si="18"/>
        <v>0</v>
      </c>
      <c r="G267" t="s">
        <v>18</v>
      </c>
      <c r="H267">
        <v>73454.539999999994</v>
      </c>
      <c r="I267">
        <v>8129</v>
      </c>
      <c r="J267">
        <v>0.21099999999999999</v>
      </c>
      <c r="K267">
        <v>20</v>
      </c>
      <c r="L267">
        <v>85.2</v>
      </c>
      <c r="M267">
        <v>0.88</v>
      </c>
      <c r="N267">
        <v>0</v>
      </c>
      <c r="O267">
        <v>3.7</v>
      </c>
      <c r="P267">
        <v>767792.94</v>
      </c>
      <c r="Q267">
        <v>96235.77</v>
      </c>
      <c r="U267">
        <v>0</v>
      </c>
      <c r="V267">
        <v>0</v>
      </c>
      <c r="W267">
        <v>0</v>
      </c>
      <c r="X267">
        <v>73454.539999999994</v>
      </c>
      <c r="Y267">
        <v>8129</v>
      </c>
      <c r="Z267">
        <v>85.2</v>
      </c>
      <c r="AA267">
        <v>3.7</v>
      </c>
      <c r="AB267">
        <f t="shared" si="19"/>
        <v>732285.39238769712</v>
      </c>
    </row>
    <row r="268" spans="1:28">
      <c r="A268" t="s">
        <v>88</v>
      </c>
      <c r="B268" s="2">
        <v>45717</v>
      </c>
      <c r="C268" t="s">
        <v>15</v>
      </c>
      <c r="D268">
        <f t="shared" si="16"/>
        <v>0</v>
      </c>
      <c r="E268">
        <f t="shared" si="17"/>
        <v>0</v>
      </c>
      <c r="F268">
        <f t="shared" si="18"/>
        <v>0</v>
      </c>
      <c r="G268" t="s">
        <v>18</v>
      </c>
      <c r="H268">
        <v>56602.39</v>
      </c>
      <c r="I268">
        <v>7969</v>
      </c>
      <c r="J268">
        <v>0.17</v>
      </c>
      <c r="K268">
        <v>21</v>
      </c>
      <c r="L268">
        <v>88.3</v>
      </c>
      <c r="M268">
        <v>2.25</v>
      </c>
      <c r="N268">
        <v>0</v>
      </c>
      <c r="O268">
        <v>3.7</v>
      </c>
      <c r="P268">
        <v>745580.51</v>
      </c>
      <c r="Q268">
        <v>116273.68</v>
      </c>
      <c r="U268">
        <v>0</v>
      </c>
      <c r="V268">
        <v>0</v>
      </c>
      <c r="W268">
        <v>0</v>
      </c>
      <c r="X268">
        <v>56602.39</v>
      </c>
      <c r="Y268">
        <v>7969</v>
      </c>
      <c r="Z268">
        <v>88.3</v>
      </c>
      <c r="AA268">
        <v>3.7</v>
      </c>
      <c r="AB268">
        <f t="shared" si="19"/>
        <v>715535.89763953874</v>
      </c>
    </row>
    <row r="269" spans="1:28">
      <c r="A269" t="s">
        <v>88</v>
      </c>
      <c r="B269" s="2">
        <v>45748</v>
      </c>
      <c r="C269" t="s">
        <v>15</v>
      </c>
      <c r="D269">
        <f t="shared" si="16"/>
        <v>0</v>
      </c>
      <c r="E269">
        <f t="shared" si="17"/>
        <v>0</v>
      </c>
      <c r="F269">
        <f t="shared" si="18"/>
        <v>0</v>
      </c>
      <c r="G269" t="s">
        <v>18</v>
      </c>
      <c r="H269">
        <v>67722.289999999994</v>
      </c>
      <c r="I269">
        <v>7240</v>
      </c>
      <c r="J269">
        <v>2.5999999999999999E-2</v>
      </c>
      <c r="K269">
        <v>15</v>
      </c>
      <c r="L269">
        <v>92.9</v>
      </c>
      <c r="M269">
        <v>0.28999999999999998</v>
      </c>
      <c r="N269">
        <v>0</v>
      </c>
      <c r="O269">
        <v>3.5</v>
      </c>
      <c r="P269">
        <v>762328.31</v>
      </c>
      <c r="Q269">
        <v>159158.19</v>
      </c>
      <c r="U269">
        <v>0</v>
      </c>
      <c r="V269">
        <v>0</v>
      </c>
      <c r="W269">
        <v>0</v>
      </c>
      <c r="X269">
        <v>67722.289999999994</v>
      </c>
      <c r="Y269">
        <v>7240</v>
      </c>
      <c r="Z269">
        <v>92.9</v>
      </c>
      <c r="AA269">
        <v>3.5</v>
      </c>
      <c r="AB269">
        <f t="shared" si="19"/>
        <v>715204.51586095104</v>
      </c>
    </row>
    <row r="270" spans="1:28">
      <c r="A270" t="s">
        <v>89</v>
      </c>
      <c r="B270" s="2">
        <v>45658</v>
      </c>
      <c r="C270" t="s">
        <v>15</v>
      </c>
      <c r="D270">
        <f t="shared" si="16"/>
        <v>0</v>
      </c>
      <c r="E270">
        <f t="shared" si="17"/>
        <v>0</v>
      </c>
      <c r="F270">
        <f t="shared" si="18"/>
        <v>0</v>
      </c>
      <c r="G270" t="s">
        <v>28</v>
      </c>
      <c r="H270">
        <v>48752.92</v>
      </c>
      <c r="I270">
        <v>8052</v>
      </c>
      <c r="J270">
        <v>0.106</v>
      </c>
      <c r="K270">
        <v>16</v>
      </c>
      <c r="L270">
        <v>94.9</v>
      </c>
      <c r="M270">
        <v>0.65</v>
      </c>
      <c r="N270">
        <v>0</v>
      </c>
      <c r="O270">
        <v>3.6</v>
      </c>
      <c r="P270">
        <v>660633.99</v>
      </c>
      <c r="Q270">
        <v>118768.66</v>
      </c>
      <c r="U270">
        <v>0</v>
      </c>
      <c r="V270">
        <v>0</v>
      </c>
      <c r="W270">
        <v>0</v>
      </c>
      <c r="X270">
        <v>48752.92</v>
      </c>
      <c r="Y270">
        <v>8052</v>
      </c>
      <c r="Z270">
        <v>94.9</v>
      </c>
      <c r="AA270">
        <v>3.6</v>
      </c>
      <c r="AB270">
        <f t="shared" si="19"/>
        <v>726869.33210381796</v>
      </c>
    </row>
    <row r="271" spans="1:28">
      <c r="A271" t="s">
        <v>89</v>
      </c>
      <c r="B271" s="2">
        <v>45689</v>
      </c>
      <c r="C271" t="s">
        <v>15</v>
      </c>
      <c r="D271">
        <f t="shared" si="16"/>
        <v>0</v>
      </c>
      <c r="E271">
        <f t="shared" si="17"/>
        <v>0</v>
      </c>
      <c r="F271">
        <f t="shared" si="18"/>
        <v>0</v>
      </c>
      <c r="G271" t="s">
        <v>28</v>
      </c>
      <c r="H271">
        <v>23914.97</v>
      </c>
      <c r="I271">
        <v>8018</v>
      </c>
      <c r="J271">
        <v>0.13900000000000001</v>
      </c>
      <c r="K271">
        <v>20</v>
      </c>
      <c r="L271">
        <v>89</v>
      </c>
      <c r="M271">
        <v>0.2</v>
      </c>
      <c r="N271">
        <v>0</v>
      </c>
      <c r="O271">
        <v>3.5</v>
      </c>
      <c r="P271">
        <v>739374.56</v>
      </c>
      <c r="Q271">
        <v>121032.29</v>
      </c>
      <c r="U271">
        <v>0</v>
      </c>
      <c r="V271">
        <v>0</v>
      </c>
      <c r="W271">
        <v>0</v>
      </c>
      <c r="X271">
        <v>23914.97</v>
      </c>
      <c r="Y271">
        <v>8018</v>
      </c>
      <c r="Z271">
        <v>89</v>
      </c>
      <c r="AA271">
        <v>3.5</v>
      </c>
      <c r="AB271">
        <f t="shared" si="19"/>
        <v>677717.62760137883</v>
      </c>
    </row>
    <row r="272" spans="1:28">
      <c r="A272" t="s">
        <v>89</v>
      </c>
      <c r="B272" s="2">
        <v>45717</v>
      </c>
      <c r="C272" t="s">
        <v>15</v>
      </c>
      <c r="D272">
        <f t="shared" si="16"/>
        <v>0</v>
      </c>
      <c r="E272">
        <f t="shared" si="17"/>
        <v>0</v>
      </c>
      <c r="F272">
        <f t="shared" si="18"/>
        <v>0</v>
      </c>
      <c r="G272" t="s">
        <v>28</v>
      </c>
      <c r="H272">
        <v>61995.3</v>
      </c>
      <c r="I272">
        <v>10192</v>
      </c>
      <c r="J272">
        <v>0.19800000000000001</v>
      </c>
      <c r="K272">
        <v>21</v>
      </c>
      <c r="L272">
        <v>87.6</v>
      </c>
      <c r="M272">
        <v>3.63</v>
      </c>
      <c r="N272">
        <v>1</v>
      </c>
      <c r="O272">
        <v>3.8</v>
      </c>
      <c r="P272">
        <v>799756.46</v>
      </c>
      <c r="Q272">
        <v>105052.93</v>
      </c>
      <c r="U272">
        <v>0</v>
      </c>
      <c r="V272">
        <v>0</v>
      </c>
      <c r="W272">
        <v>0</v>
      </c>
      <c r="X272">
        <v>61995.3</v>
      </c>
      <c r="Y272">
        <v>10192</v>
      </c>
      <c r="Z272">
        <v>87.6</v>
      </c>
      <c r="AA272">
        <v>3.8</v>
      </c>
      <c r="AB272">
        <f t="shared" si="19"/>
        <v>796648.43677889288</v>
      </c>
    </row>
    <row r="273" spans="1:28">
      <c r="A273" t="s">
        <v>89</v>
      </c>
      <c r="B273" s="2">
        <v>45748</v>
      </c>
      <c r="C273" t="s">
        <v>15</v>
      </c>
      <c r="D273">
        <f t="shared" si="16"/>
        <v>0</v>
      </c>
      <c r="E273">
        <f t="shared" si="17"/>
        <v>0</v>
      </c>
      <c r="F273">
        <f t="shared" si="18"/>
        <v>0</v>
      </c>
      <c r="G273" t="s">
        <v>28</v>
      </c>
      <c r="H273">
        <v>29344.93</v>
      </c>
      <c r="I273">
        <v>7446</v>
      </c>
      <c r="J273">
        <v>0.111</v>
      </c>
      <c r="K273">
        <v>15</v>
      </c>
      <c r="L273">
        <v>86.2</v>
      </c>
      <c r="M273">
        <v>0.2</v>
      </c>
      <c r="N273">
        <v>0</v>
      </c>
      <c r="O273">
        <v>3.2</v>
      </c>
      <c r="P273">
        <v>593343</v>
      </c>
      <c r="Q273">
        <v>82832.240000000005</v>
      </c>
      <c r="U273">
        <v>0</v>
      </c>
      <c r="V273">
        <v>0</v>
      </c>
      <c r="W273">
        <v>0</v>
      </c>
      <c r="X273">
        <v>29344.93</v>
      </c>
      <c r="Y273">
        <v>7446</v>
      </c>
      <c r="Z273">
        <v>86.2</v>
      </c>
      <c r="AA273">
        <v>3.2</v>
      </c>
      <c r="AB273">
        <f t="shared" si="19"/>
        <v>653416.57489396364</v>
      </c>
    </row>
    <row r="274" spans="1:28">
      <c r="A274" t="s">
        <v>90</v>
      </c>
      <c r="B274" s="2">
        <v>45658</v>
      </c>
      <c r="C274" t="s">
        <v>27</v>
      </c>
      <c r="D274">
        <f t="shared" si="16"/>
        <v>0</v>
      </c>
      <c r="E274">
        <f t="shared" si="17"/>
        <v>0</v>
      </c>
      <c r="F274">
        <f t="shared" si="18"/>
        <v>1</v>
      </c>
      <c r="G274" t="s">
        <v>18</v>
      </c>
      <c r="H274">
        <v>50532.17</v>
      </c>
      <c r="I274">
        <v>5689</v>
      </c>
      <c r="J274">
        <v>5.1999999999999998E-2</v>
      </c>
      <c r="K274">
        <v>17</v>
      </c>
      <c r="L274">
        <v>85.6</v>
      </c>
      <c r="M274">
        <v>6.23</v>
      </c>
      <c r="N274">
        <v>0</v>
      </c>
      <c r="O274">
        <v>3.3</v>
      </c>
      <c r="P274">
        <v>645039.97</v>
      </c>
      <c r="Q274">
        <v>83093.33</v>
      </c>
      <c r="U274">
        <v>0</v>
      </c>
      <c r="V274">
        <v>0</v>
      </c>
      <c r="W274">
        <v>1</v>
      </c>
      <c r="X274">
        <v>50532.17</v>
      </c>
      <c r="Y274">
        <v>5689</v>
      </c>
      <c r="Z274">
        <v>85.6</v>
      </c>
      <c r="AA274">
        <v>3.3</v>
      </c>
      <c r="AB274">
        <f t="shared" si="19"/>
        <v>635592.38231467584</v>
      </c>
    </row>
    <row r="275" spans="1:28">
      <c r="A275" t="s">
        <v>90</v>
      </c>
      <c r="B275" s="2">
        <v>45689</v>
      </c>
      <c r="C275" t="s">
        <v>27</v>
      </c>
      <c r="D275">
        <f t="shared" si="16"/>
        <v>0</v>
      </c>
      <c r="E275">
        <f t="shared" si="17"/>
        <v>0</v>
      </c>
      <c r="F275">
        <f t="shared" si="18"/>
        <v>1</v>
      </c>
      <c r="G275" t="s">
        <v>18</v>
      </c>
      <c r="H275">
        <v>17562.57</v>
      </c>
      <c r="I275">
        <v>3326</v>
      </c>
      <c r="J275">
        <v>0.153</v>
      </c>
      <c r="K275">
        <v>14</v>
      </c>
      <c r="L275">
        <v>88.1</v>
      </c>
      <c r="M275">
        <v>1.04</v>
      </c>
      <c r="N275">
        <v>0</v>
      </c>
      <c r="O275">
        <v>3.1</v>
      </c>
      <c r="P275">
        <v>561597.32999999996</v>
      </c>
      <c r="Q275">
        <v>75072.75</v>
      </c>
      <c r="U275">
        <v>0</v>
      </c>
      <c r="V275">
        <v>0</v>
      </c>
      <c r="W275">
        <v>1</v>
      </c>
      <c r="X275">
        <v>17562.57</v>
      </c>
      <c r="Y275">
        <v>3326</v>
      </c>
      <c r="Z275">
        <v>88.1</v>
      </c>
      <c r="AA275">
        <v>3.1</v>
      </c>
      <c r="AB275">
        <f t="shared" si="19"/>
        <v>520660.95048491633</v>
      </c>
    </row>
    <row r="276" spans="1:28">
      <c r="A276" t="s">
        <v>90</v>
      </c>
      <c r="B276" s="2">
        <v>45717</v>
      </c>
      <c r="C276" t="s">
        <v>27</v>
      </c>
      <c r="D276">
        <f t="shared" si="16"/>
        <v>0</v>
      </c>
      <c r="E276">
        <f t="shared" si="17"/>
        <v>0</v>
      </c>
      <c r="F276">
        <f t="shared" si="18"/>
        <v>1</v>
      </c>
      <c r="G276" t="s">
        <v>18</v>
      </c>
      <c r="H276">
        <v>47648.71</v>
      </c>
      <c r="I276">
        <v>5767</v>
      </c>
      <c r="J276">
        <v>0.14099999999999999</v>
      </c>
      <c r="K276">
        <v>17</v>
      </c>
      <c r="L276">
        <v>89.8</v>
      </c>
      <c r="M276">
        <v>1.76</v>
      </c>
      <c r="N276">
        <v>0</v>
      </c>
      <c r="O276">
        <v>3.1</v>
      </c>
      <c r="P276">
        <v>635837.74</v>
      </c>
      <c r="Q276">
        <v>114740.64</v>
      </c>
      <c r="U276">
        <v>0</v>
      </c>
      <c r="V276">
        <v>0</v>
      </c>
      <c r="W276">
        <v>1</v>
      </c>
      <c r="X276">
        <v>47648.71</v>
      </c>
      <c r="Y276">
        <v>5767</v>
      </c>
      <c r="Z276">
        <v>89.8</v>
      </c>
      <c r="AA276">
        <v>3.1</v>
      </c>
      <c r="AB276">
        <f t="shared" si="19"/>
        <v>644695.73477325495</v>
      </c>
    </row>
    <row r="277" spans="1:28">
      <c r="A277" t="s">
        <v>90</v>
      </c>
      <c r="B277" s="2">
        <v>45748</v>
      </c>
      <c r="C277" t="s">
        <v>27</v>
      </c>
      <c r="D277">
        <f t="shared" si="16"/>
        <v>0</v>
      </c>
      <c r="E277">
        <f t="shared" si="17"/>
        <v>0</v>
      </c>
      <c r="F277">
        <f t="shared" si="18"/>
        <v>1</v>
      </c>
      <c r="G277" t="s">
        <v>18</v>
      </c>
      <c r="H277">
        <v>38297.58</v>
      </c>
      <c r="I277">
        <v>5893</v>
      </c>
      <c r="J277">
        <v>0.247</v>
      </c>
      <c r="K277">
        <v>18</v>
      </c>
      <c r="L277">
        <v>77.599999999999994</v>
      </c>
      <c r="M277">
        <v>2.86</v>
      </c>
      <c r="N277">
        <v>0</v>
      </c>
      <c r="O277">
        <v>3</v>
      </c>
      <c r="P277">
        <v>686737.87</v>
      </c>
      <c r="Q277">
        <v>83839.67</v>
      </c>
      <c r="U277">
        <v>0</v>
      </c>
      <c r="V277">
        <v>0</v>
      </c>
      <c r="W277">
        <v>1</v>
      </c>
      <c r="X277">
        <v>38297.58</v>
      </c>
      <c r="Y277">
        <v>5893</v>
      </c>
      <c r="Z277">
        <v>77.599999999999994</v>
      </c>
      <c r="AA277">
        <v>3</v>
      </c>
      <c r="AB277">
        <f t="shared" si="19"/>
        <v>601414.47407052002</v>
      </c>
    </row>
    <row r="278" spans="1:28">
      <c r="A278" t="s">
        <v>91</v>
      </c>
      <c r="B278" s="2">
        <v>45658</v>
      </c>
      <c r="C278" t="s">
        <v>24</v>
      </c>
      <c r="D278">
        <f t="shared" si="16"/>
        <v>0</v>
      </c>
      <c r="E278">
        <f t="shared" si="17"/>
        <v>1</v>
      </c>
      <c r="F278">
        <f t="shared" si="18"/>
        <v>0</v>
      </c>
      <c r="G278" t="s">
        <v>16</v>
      </c>
      <c r="H278">
        <v>61784.11</v>
      </c>
      <c r="I278">
        <v>8564</v>
      </c>
      <c r="J278">
        <v>0.13</v>
      </c>
      <c r="K278">
        <v>17</v>
      </c>
      <c r="L278">
        <v>87.4</v>
      </c>
      <c r="M278">
        <v>18.14</v>
      </c>
      <c r="N278">
        <v>1</v>
      </c>
      <c r="O278">
        <v>3.4</v>
      </c>
      <c r="P278">
        <v>673076.34</v>
      </c>
      <c r="Q278">
        <v>93899.76</v>
      </c>
      <c r="U278">
        <v>0</v>
      </c>
      <c r="V278">
        <v>1</v>
      </c>
      <c r="W278">
        <v>0</v>
      </c>
      <c r="X278">
        <v>61784.11</v>
      </c>
      <c r="Y278">
        <v>8564</v>
      </c>
      <c r="Z278">
        <v>87.4</v>
      </c>
      <c r="AA278">
        <v>3.4</v>
      </c>
      <c r="AB278">
        <f t="shared" si="19"/>
        <v>758053.23593977536</v>
      </c>
    </row>
    <row r="279" spans="1:28">
      <c r="A279" t="s">
        <v>91</v>
      </c>
      <c r="B279" s="2">
        <v>45689</v>
      </c>
      <c r="C279" t="s">
        <v>24</v>
      </c>
      <c r="D279">
        <f t="shared" si="16"/>
        <v>0</v>
      </c>
      <c r="E279">
        <f t="shared" si="17"/>
        <v>1</v>
      </c>
      <c r="F279">
        <f t="shared" si="18"/>
        <v>0</v>
      </c>
      <c r="G279" t="s">
        <v>16</v>
      </c>
      <c r="H279">
        <v>36832.33</v>
      </c>
      <c r="I279">
        <v>8001</v>
      </c>
      <c r="J279">
        <v>0</v>
      </c>
      <c r="K279">
        <v>19</v>
      </c>
      <c r="L279">
        <v>88.7</v>
      </c>
      <c r="M279">
        <v>3.39</v>
      </c>
      <c r="N279">
        <v>0</v>
      </c>
      <c r="O279">
        <v>4</v>
      </c>
      <c r="P279">
        <v>738548.42</v>
      </c>
      <c r="Q279">
        <v>134282.76999999999</v>
      </c>
      <c r="U279">
        <v>0</v>
      </c>
      <c r="V279">
        <v>1</v>
      </c>
      <c r="W279">
        <v>0</v>
      </c>
      <c r="X279">
        <v>36832.33</v>
      </c>
      <c r="Y279">
        <v>8001</v>
      </c>
      <c r="Z279">
        <v>88.7</v>
      </c>
      <c r="AA279">
        <v>4</v>
      </c>
      <c r="AB279">
        <f t="shared" si="19"/>
        <v>719288.98815157614</v>
      </c>
    </row>
    <row r="280" spans="1:28">
      <c r="A280" t="s">
        <v>91</v>
      </c>
      <c r="B280" s="2">
        <v>45717</v>
      </c>
      <c r="C280" t="s">
        <v>24</v>
      </c>
      <c r="D280">
        <f t="shared" si="16"/>
        <v>0</v>
      </c>
      <c r="E280">
        <f t="shared" si="17"/>
        <v>1</v>
      </c>
      <c r="F280">
        <f t="shared" si="18"/>
        <v>0</v>
      </c>
      <c r="G280" t="s">
        <v>16</v>
      </c>
      <c r="H280">
        <v>48609.41</v>
      </c>
      <c r="I280">
        <v>9324</v>
      </c>
      <c r="J280">
        <v>0.21299999999999999</v>
      </c>
      <c r="K280">
        <v>18</v>
      </c>
      <c r="L280">
        <v>86.5</v>
      </c>
      <c r="M280">
        <v>1.44</v>
      </c>
      <c r="N280">
        <v>0</v>
      </c>
      <c r="O280">
        <v>3.9</v>
      </c>
      <c r="P280">
        <v>756619.77</v>
      </c>
      <c r="Q280">
        <v>112057.69</v>
      </c>
      <c r="U280">
        <v>0</v>
      </c>
      <c r="V280">
        <v>1</v>
      </c>
      <c r="W280">
        <v>0</v>
      </c>
      <c r="X280">
        <v>48609.41</v>
      </c>
      <c r="Y280">
        <v>9324</v>
      </c>
      <c r="Z280">
        <v>86.5</v>
      </c>
      <c r="AA280">
        <v>3.9</v>
      </c>
      <c r="AB280">
        <f t="shared" si="19"/>
        <v>770956.11388078821</v>
      </c>
    </row>
    <row r="281" spans="1:28">
      <c r="A281" t="s">
        <v>91</v>
      </c>
      <c r="B281" s="2">
        <v>45748</v>
      </c>
      <c r="C281" t="s">
        <v>24</v>
      </c>
      <c r="D281">
        <f t="shared" si="16"/>
        <v>0</v>
      </c>
      <c r="E281">
        <f t="shared" si="17"/>
        <v>1</v>
      </c>
      <c r="F281">
        <f t="shared" si="18"/>
        <v>0</v>
      </c>
      <c r="G281" t="s">
        <v>16</v>
      </c>
      <c r="H281">
        <v>70284.06</v>
      </c>
      <c r="I281">
        <v>9109</v>
      </c>
      <c r="J281">
        <v>4.0000000000000001E-3</v>
      </c>
      <c r="K281">
        <v>23</v>
      </c>
      <c r="L281">
        <v>87</v>
      </c>
      <c r="M281">
        <v>3.65</v>
      </c>
      <c r="N281">
        <v>0</v>
      </c>
      <c r="O281">
        <v>3.7</v>
      </c>
      <c r="P281">
        <v>761122.42</v>
      </c>
      <c r="Q281">
        <v>149802.04</v>
      </c>
      <c r="U281">
        <v>0</v>
      </c>
      <c r="V281">
        <v>1</v>
      </c>
      <c r="W281">
        <v>0</v>
      </c>
      <c r="X281">
        <v>70284.06</v>
      </c>
      <c r="Y281">
        <v>9109</v>
      </c>
      <c r="Z281">
        <v>87</v>
      </c>
      <c r="AA281">
        <v>3.7</v>
      </c>
      <c r="AB281">
        <f t="shared" si="19"/>
        <v>788946.72260395659</v>
      </c>
    </row>
    <row r="282" spans="1:28">
      <c r="A282" t="s">
        <v>92</v>
      </c>
      <c r="B282" s="2">
        <v>45658</v>
      </c>
      <c r="C282" t="s">
        <v>24</v>
      </c>
      <c r="D282">
        <f t="shared" si="16"/>
        <v>0</v>
      </c>
      <c r="E282">
        <f t="shared" si="17"/>
        <v>1</v>
      </c>
      <c r="F282">
        <f t="shared" si="18"/>
        <v>0</v>
      </c>
      <c r="G282" t="s">
        <v>18</v>
      </c>
      <c r="H282">
        <v>45940.39</v>
      </c>
      <c r="I282">
        <v>4022</v>
      </c>
      <c r="J282">
        <v>6.9000000000000006E-2</v>
      </c>
      <c r="K282">
        <v>10</v>
      </c>
      <c r="L282">
        <v>83</v>
      </c>
      <c r="M282">
        <v>1.23</v>
      </c>
      <c r="N282">
        <v>1</v>
      </c>
      <c r="O282">
        <v>3.8</v>
      </c>
      <c r="P282">
        <v>524899.56999999995</v>
      </c>
      <c r="Q282">
        <v>63619.98</v>
      </c>
      <c r="U282">
        <v>0</v>
      </c>
      <c r="V282">
        <v>1</v>
      </c>
      <c r="W282">
        <v>0</v>
      </c>
      <c r="X282">
        <v>45940.39</v>
      </c>
      <c r="Y282">
        <v>4022</v>
      </c>
      <c r="Z282">
        <v>83</v>
      </c>
      <c r="AA282">
        <v>3.8</v>
      </c>
      <c r="AB282">
        <f t="shared" si="19"/>
        <v>576356.6235717166</v>
      </c>
    </row>
    <row r="283" spans="1:28">
      <c r="A283" t="s">
        <v>92</v>
      </c>
      <c r="B283" s="2">
        <v>45689</v>
      </c>
      <c r="C283" t="s">
        <v>24</v>
      </c>
      <c r="D283">
        <f t="shared" si="16"/>
        <v>0</v>
      </c>
      <c r="E283">
        <f t="shared" si="17"/>
        <v>1</v>
      </c>
      <c r="F283">
        <f t="shared" si="18"/>
        <v>0</v>
      </c>
      <c r="G283" t="s">
        <v>18</v>
      </c>
      <c r="H283">
        <v>34771.26</v>
      </c>
      <c r="I283">
        <v>4355</v>
      </c>
      <c r="J283">
        <v>5.0999999999999997E-2</v>
      </c>
      <c r="K283">
        <v>15</v>
      </c>
      <c r="L283">
        <v>87.9</v>
      </c>
      <c r="M283">
        <v>3.09</v>
      </c>
      <c r="N283">
        <v>0</v>
      </c>
      <c r="O283">
        <v>4</v>
      </c>
      <c r="P283">
        <v>555557.77</v>
      </c>
      <c r="Q283">
        <v>86475.51</v>
      </c>
      <c r="U283">
        <v>0</v>
      </c>
      <c r="V283">
        <v>1</v>
      </c>
      <c r="W283">
        <v>0</v>
      </c>
      <c r="X283">
        <v>34771.26</v>
      </c>
      <c r="Y283">
        <v>4355</v>
      </c>
      <c r="Z283">
        <v>87.9</v>
      </c>
      <c r="AA283">
        <v>4</v>
      </c>
      <c r="AB283">
        <f t="shared" si="19"/>
        <v>590595.03149612376</v>
      </c>
    </row>
    <row r="284" spans="1:28">
      <c r="A284" t="s">
        <v>92</v>
      </c>
      <c r="B284" s="2">
        <v>45717</v>
      </c>
      <c r="C284" t="s">
        <v>24</v>
      </c>
      <c r="D284">
        <f t="shared" si="16"/>
        <v>0</v>
      </c>
      <c r="E284">
        <f t="shared" si="17"/>
        <v>1</v>
      </c>
      <c r="F284">
        <f t="shared" si="18"/>
        <v>0</v>
      </c>
      <c r="G284" t="s">
        <v>18</v>
      </c>
      <c r="H284">
        <v>66104.19</v>
      </c>
      <c r="I284">
        <v>5745</v>
      </c>
      <c r="J284">
        <v>7.0000000000000007E-2</v>
      </c>
      <c r="K284">
        <v>17</v>
      </c>
      <c r="L284">
        <v>95.8</v>
      </c>
      <c r="M284">
        <v>3.15</v>
      </c>
      <c r="N284">
        <v>0</v>
      </c>
      <c r="O284">
        <v>4</v>
      </c>
      <c r="P284">
        <v>714083.68</v>
      </c>
      <c r="Q284">
        <v>127231.74</v>
      </c>
      <c r="U284">
        <v>0</v>
      </c>
      <c r="V284">
        <v>1</v>
      </c>
      <c r="W284">
        <v>0</v>
      </c>
      <c r="X284">
        <v>66104.19</v>
      </c>
      <c r="Y284">
        <v>5745</v>
      </c>
      <c r="Z284">
        <v>95.8</v>
      </c>
      <c r="AA284">
        <v>4</v>
      </c>
      <c r="AB284">
        <f t="shared" si="19"/>
        <v>698309.09973389551</v>
      </c>
    </row>
    <row r="285" spans="1:28">
      <c r="A285" t="s">
        <v>92</v>
      </c>
      <c r="B285" s="2">
        <v>45748</v>
      </c>
      <c r="C285" t="s">
        <v>24</v>
      </c>
      <c r="D285">
        <f t="shared" si="16"/>
        <v>0</v>
      </c>
      <c r="E285">
        <f t="shared" si="17"/>
        <v>1</v>
      </c>
      <c r="F285">
        <f t="shared" si="18"/>
        <v>0</v>
      </c>
      <c r="G285" t="s">
        <v>18</v>
      </c>
      <c r="H285">
        <v>18599.21</v>
      </c>
      <c r="I285">
        <v>3027</v>
      </c>
      <c r="J285">
        <v>0.122</v>
      </c>
      <c r="K285">
        <v>11</v>
      </c>
      <c r="L285">
        <v>80.900000000000006</v>
      </c>
      <c r="M285">
        <v>6.44</v>
      </c>
      <c r="N285">
        <v>0</v>
      </c>
      <c r="O285">
        <v>4.2</v>
      </c>
      <c r="P285">
        <v>497439.82</v>
      </c>
      <c r="Q285">
        <v>93372.75</v>
      </c>
      <c r="U285">
        <v>0</v>
      </c>
      <c r="V285">
        <v>1</v>
      </c>
      <c r="W285">
        <v>0</v>
      </c>
      <c r="X285">
        <v>18599.21</v>
      </c>
      <c r="Y285">
        <v>3027</v>
      </c>
      <c r="Z285">
        <v>80.900000000000006</v>
      </c>
      <c r="AA285">
        <v>4.2</v>
      </c>
      <c r="AB285">
        <f t="shared" si="19"/>
        <v>508018.56887594296</v>
      </c>
    </row>
    <row r="286" spans="1:28">
      <c r="A286" t="s">
        <v>93</v>
      </c>
      <c r="B286" s="2">
        <v>45658</v>
      </c>
      <c r="C286" t="s">
        <v>27</v>
      </c>
      <c r="D286">
        <f t="shared" si="16"/>
        <v>0</v>
      </c>
      <c r="E286">
        <f t="shared" si="17"/>
        <v>0</v>
      </c>
      <c r="F286">
        <f t="shared" si="18"/>
        <v>1</v>
      </c>
      <c r="G286" t="s">
        <v>16</v>
      </c>
      <c r="H286">
        <v>60183.06</v>
      </c>
      <c r="I286">
        <v>5562</v>
      </c>
      <c r="J286">
        <v>8.9999999999999993E-3</v>
      </c>
      <c r="K286">
        <v>13</v>
      </c>
      <c r="L286">
        <v>86.3</v>
      </c>
      <c r="M286">
        <v>0.2</v>
      </c>
      <c r="N286">
        <v>1</v>
      </c>
      <c r="O286">
        <v>4.5</v>
      </c>
      <c r="P286">
        <v>636775.66</v>
      </c>
      <c r="Q286">
        <v>122636.86</v>
      </c>
      <c r="U286">
        <v>0</v>
      </c>
      <c r="V286">
        <v>0</v>
      </c>
      <c r="W286">
        <v>1</v>
      </c>
      <c r="X286">
        <v>60183.06</v>
      </c>
      <c r="Y286">
        <v>5562</v>
      </c>
      <c r="Z286">
        <v>86.3</v>
      </c>
      <c r="AA286">
        <v>4.5</v>
      </c>
      <c r="AB286">
        <f t="shared" si="19"/>
        <v>658130.09273907053</v>
      </c>
    </row>
    <row r="287" spans="1:28">
      <c r="A287" t="s">
        <v>93</v>
      </c>
      <c r="B287" s="2">
        <v>45689</v>
      </c>
      <c r="C287" t="s">
        <v>27</v>
      </c>
      <c r="D287">
        <f t="shared" si="16"/>
        <v>0</v>
      </c>
      <c r="E287">
        <f t="shared" si="17"/>
        <v>0</v>
      </c>
      <c r="F287">
        <f t="shared" si="18"/>
        <v>1</v>
      </c>
      <c r="G287" t="s">
        <v>16</v>
      </c>
      <c r="H287">
        <v>74539.14</v>
      </c>
      <c r="I287">
        <v>4487</v>
      </c>
      <c r="J287">
        <v>0.14000000000000001</v>
      </c>
      <c r="K287">
        <v>10</v>
      </c>
      <c r="L287">
        <v>90.4</v>
      </c>
      <c r="M287">
        <v>0.59</v>
      </c>
      <c r="N287">
        <v>0</v>
      </c>
      <c r="O287">
        <v>4.5</v>
      </c>
      <c r="P287">
        <v>633009.53</v>
      </c>
      <c r="Q287">
        <v>123782.67</v>
      </c>
      <c r="U287">
        <v>0</v>
      </c>
      <c r="V287">
        <v>0</v>
      </c>
      <c r="W287">
        <v>1</v>
      </c>
      <c r="X287">
        <v>74539.14</v>
      </c>
      <c r="Y287">
        <v>4487</v>
      </c>
      <c r="Z287">
        <v>90.4</v>
      </c>
      <c r="AA287">
        <v>4.5</v>
      </c>
      <c r="AB287">
        <f t="shared" si="19"/>
        <v>650692.56200704665</v>
      </c>
    </row>
    <row r="288" spans="1:28">
      <c r="A288" t="s">
        <v>93</v>
      </c>
      <c r="B288" s="2">
        <v>45717</v>
      </c>
      <c r="C288" t="s">
        <v>27</v>
      </c>
      <c r="D288">
        <f t="shared" si="16"/>
        <v>0</v>
      </c>
      <c r="E288">
        <f t="shared" si="17"/>
        <v>0</v>
      </c>
      <c r="F288">
        <f t="shared" si="18"/>
        <v>1</v>
      </c>
      <c r="G288" t="s">
        <v>16</v>
      </c>
      <c r="H288">
        <v>55371.97</v>
      </c>
      <c r="I288">
        <v>4162</v>
      </c>
      <c r="J288">
        <v>0.183</v>
      </c>
      <c r="K288">
        <v>11</v>
      </c>
      <c r="L288">
        <v>92</v>
      </c>
      <c r="M288">
        <v>0.2</v>
      </c>
      <c r="N288">
        <v>1</v>
      </c>
      <c r="O288">
        <v>4.2</v>
      </c>
      <c r="P288">
        <v>609949</v>
      </c>
      <c r="Q288">
        <v>126789.25</v>
      </c>
      <c r="U288">
        <v>0</v>
      </c>
      <c r="V288">
        <v>0</v>
      </c>
      <c r="W288">
        <v>1</v>
      </c>
      <c r="X288">
        <v>55371.97</v>
      </c>
      <c r="Y288">
        <v>4162</v>
      </c>
      <c r="Z288">
        <v>92</v>
      </c>
      <c r="AA288">
        <v>4.2</v>
      </c>
      <c r="AB288">
        <f t="shared" si="19"/>
        <v>617914.77881753084</v>
      </c>
    </row>
    <row r="289" spans="1:28">
      <c r="A289" t="s">
        <v>93</v>
      </c>
      <c r="B289" s="2">
        <v>45748</v>
      </c>
      <c r="C289" t="s">
        <v>27</v>
      </c>
      <c r="D289">
        <f t="shared" si="16"/>
        <v>0</v>
      </c>
      <c r="E289">
        <f t="shared" si="17"/>
        <v>0</v>
      </c>
      <c r="F289">
        <f t="shared" si="18"/>
        <v>1</v>
      </c>
      <c r="G289" t="s">
        <v>16</v>
      </c>
      <c r="H289">
        <v>40928.69</v>
      </c>
      <c r="I289">
        <v>4094</v>
      </c>
      <c r="J289">
        <v>0.17399999999999999</v>
      </c>
      <c r="K289">
        <v>13</v>
      </c>
      <c r="L289">
        <v>82.4</v>
      </c>
      <c r="M289">
        <v>1.36</v>
      </c>
      <c r="N289">
        <v>0</v>
      </c>
      <c r="O289">
        <v>4.8</v>
      </c>
      <c r="P289">
        <v>548103.69999999995</v>
      </c>
      <c r="Q289">
        <v>99905.52</v>
      </c>
      <c r="U289">
        <v>0</v>
      </c>
      <c r="V289">
        <v>0</v>
      </c>
      <c r="W289">
        <v>1</v>
      </c>
      <c r="X289">
        <v>40928.69</v>
      </c>
      <c r="Y289">
        <v>4094</v>
      </c>
      <c r="Z289">
        <v>82.4</v>
      </c>
      <c r="AA289">
        <v>4.8</v>
      </c>
      <c r="AB289">
        <f t="shared" si="19"/>
        <v>577141.41955337743</v>
      </c>
    </row>
    <row r="290" spans="1:28">
      <c r="A290" t="s">
        <v>94</v>
      </c>
      <c r="B290" s="2">
        <v>45658</v>
      </c>
      <c r="C290" t="s">
        <v>15</v>
      </c>
      <c r="D290">
        <f t="shared" si="16"/>
        <v>0</v>
      </c>
      <c r="E290">
        <f t="shared" si="17"/>
        <v>0</v>
      </c>
      <c r="F290">
        <f t="shared" si="18"/>
        <v>0</v>
      </c>
      <c r="G290" t="s">
        <v>16</v>
      </c>
      <c r="H290">
        <v>70012.41</v>
      </c>
      <c r="I290">
        <v>8484</v>
      </c>
      <c r="J290">
        <v>0.27300000000000002</v>
      </c>
      <c r="K290">
        <v>23</v>
      </c>
      <c r="L290">
        <v>72.900000000000006</v>
      </c>
      <c r="M290">
        <v>3.34</v>
      </c>
      <c r="N290">
        <v>0</v>
      </c>
      <c r="O290">
        <v>3.7</v>
      </c>
      <c r="P290">
        <v>729424.42</v>
      </c>
      <c r="Q290">
        <v>75592.28</v>
      </c>
      <c r="U290">
        <v>0</v>
      </c>
      <c r="V290">
        <v>0</v>
      </c>
      <c r="W290">
        <v>0</v>
      </c>
      <c r="X290">
        <v>70012.41</v>
      </c>
      <c r="Y290">
        <v>8484</v>
      </c>
      <c r="Z290">
        <v>72.900000000000006</v>
      </c>
      <c r="AA290">
        <v>3.7</v>
      </c>
      <c r="AB290">
        <f t="shared" si="19"/>
        <v>704704.5853901162</v>
      </c>
    </row>
    <row r="291" spans="1:28">
      <c r="A291" t="s">
        <v>94</v>
      </c>
      <c r="B291" s="2">
        <v>45689</v>
      </c>
      <c r="C291" t="s">
        <v>15</v>
      </c>
      <c r="D291">
        <f t="shared" si="16"/>
        <v>0</v>
      </c>
      <c r="E291">
        <f t="shared" si="17"/>
        <v>0</v>
      </c>
      <c r="F291">
        <f t="shared" si="18"/>
        <v>0</v>
      </c>
      <c r="G291" t="s">
        <v>16</v>
      </c>
      <c r="H291">
        <v>68909.259999999995</v>
      </c>
      <c r="I291">
        <v>7794</v>
      </c>
      <c r="J291">
        <v>0.28399999999999997</v>
      </c>
      <c r="K291">
        <v>22</v>
      </c>
      <c r="L291">
        <v>89</v>
      </c>
      <c r="M291">
        <v>0.33</v>
      </c>
      <c r="N291">
        <v>0</v>
      </c>
      <c r="O291">
        <v>4</v>
      </c>
      <c r="P291">
        <v>696261.49</v>
      </c>
      <c r="Q291">
        <v>72455.350000000006</v>
      </c>
      <c r="U291">
        <v>0</v>
      </c>
      <c r="V291">
        <v>0</v>
      </c>
      <c r="W291">
        <v>0</v>
      </c>
      <c r="X291">
        <v>68909.259999999995</v>
      </c>
      <c r="Y291">
        <v>7794</v>
      </c>
      <c r="Z291">
        <v>89</v>
      </c>
      <c r="AA291">
        <v>4</v>
      </c>
      <c r="AB291">
        <f t="shared" si="19"/>
        <v>729713.08633268182</v>
      </c>
    </row>
    <row r="292" spans="1:28">
      <c r="A292" t="s">
        <v>94</v>
      </c>
      <c r="B292" s="2">
        <v>45717</v>
      </c>
      <c r="C292" t="s">
        <v>15</v>
      </c>
      <c r="D292">
        <f t="shared" si="16"/>
        <v>0</v>
      </c>
      <c r="E292">
        <f t="shared" si="17"/>
        <v>0</v>
      </c>
      <c r="F292">
        <f t="shared" si="18"/>
        <v>0</v>
      </c>
      <c r="G292" t="s">
        <v>16</v>
      </c>
      <c r="H292">
        <v>56737.3</v>
      </c>
      <c r="I292">
        <v>8300</v>
      </c>
      <c r="J292">
        <v>3.2000000000000001E-2</v>
      </c>
      <c r="K292">
        <v>21</v>
      </c>
      <c r="L292">
        <v>83.2</v>
      </c>
      <c r="M292">
        <v>3.44</v>
      </c>
      <c r="N292">
        <v>1</v>
      </c>
      <c r="O292">
        <v>4.3</v>
      </c>
      <c r="P292">
        <v>813316.71</v>
      </c>
      <c r="Q292">
        <v>110077.42</v>
      </c>
      <c r="U292">
        <v>0</v>
      </c>
      <c r="V292">
        <v>0</v>
      </c>
      <c r="W292">
        <v>0</v>
      </c>
      <c r="X292">
        <v>56737.3</v>
      </c>
      <c r="Y292">
        <v>8300</v>
      </c>
      <c r="Z292">
        <v>83.2</v>
      </c>
      <c r="AA292">
        <v>4.3</v>
      </c>
      <c r="AB292">
        <f t="shared" si="19"/>
        <v>718839.53258812486</v>
      </c>
    </row>
    <row r="293" spans="1:28">
      <c r="A293" t="s">
        <v>94</v>
      </c>
      <c r="B293" s="2">
        <v>45748</v>
      </c>
      <c r="C293" t="s">
        <v>15</v>
      </c>
      <c r="D293">
        <f t="shared" si="16"/>
        <v>0</v>
      </c>
      <c r="E293">
        <f t="shared" si="17"/>
        <v>0</v>
      </c>
      <c r="F293">
        <f t="shared" si="18"/>
        <v>0</v>
      </c>
      <c r="G293" t="s">
        <v>16</v>
      </c>
      <c r="H293">
        <v>54080.91</v>
      </c>
      <c r="I293">
        <v>7083</v>
      </c>
      <c r="J293">
        <v>0</v>
      </c>
      <c r="K293">
        <v>15</v>
      </c>
      <c r="L293">
        <v>97</v>
      </c>
      <c r="M293">
        <v>5.33</v>
      </c>
      <c r="N293">
        <v>0</v>
      </c>
      <c r="O293">
        <v>4.0999999999999996</v>
      </c>
      <c r="P293">
        <v>702068.92</v>
      </c>
      <c r="Q293">
        <v>111266.63</v>
      </c>
      <c r="U293">
        <v>0</v>
      </c>
      <c r="V293">
        <v>0</v>
      </c>
      <c r="W293">
        <v>0</v>
      </c>
      <c r="X293">
        <v>54080.91</v>
      </c>
      <c r="Y293">
        <v>7083</v>
      </c>
      <c r="Z293">
        <v>97</v>
      </c>
      <c r="AA293">
        <v>4.0999999999999996</v>
      </c>
      <c r="AB293">
        <f t="shared" si="19"/>
        <v>711918.92617584218</v>
      </c>
    </row>
    <row r="294" spans="1:28">
      <c r="A294" t="s">
        <v>95</v>
      </c>
      <c r="B294" s="2">
        <v>45658</v>
      </c>
      <c r="C294" t="s">
        <v>27</v>
      </c>
      <c r="D294">
        <f t="shared" si="16"/>
        <v>0</v>
      </c>
      <c r="E294">
        <f t="shared" si="17"/>
        <v>0</v>
      </c>
      <c r="F294">
        <f t="shared" si="18"/>
        <v>1</v>
      </c>
      <c r="G294" t="s">
        <v>18</v>
      </c>
      <c r="H294">
        <v>51996.32</v>
      </c>
      <c r="I294">
        <v>3834</v>
      </c>
      <c r="J294">
        <v>9.6000000000000002E-2</v>
      </c>
      <c r="K294">
        <v>8</v>
      </c>
      <c r="L294">
        <v>86.7</v>
      </c>
      <c r="M294">
        <v>6.04</v>
      </c>
      <c r="N294">
        <v>0</v>
      </c>
      <c r="O294">
        <v>4.5</v>
      </c>
      <c r="P294">
        <v>546223.69999999995</v>
      </c>
      <c r="Q294">
        <v>100769.17</v>
      </c>
      <c r="U294">
        <v>0</v>
      </c>
      <c r="V294">
        <v>0</v>
      </c>
      <c r="W294">
        <v>1</v>
      </c>
      <c r="X294">
        <v>51996.32</v>
      </c>
      <c r="Y294">
        <v>3834</v>
      </c>
      <c r="Z294">
        <v>86.7</v>
      </c>
      <c r="AA294">
        <v>4.5</v>
      </c>
      <c r="AB294">
        <f t="shared" si="19"/>
        <v>590717.29179699637</v>
      </c>
    </row>
    <row r="295" spans="1:28">
      <c r="A295" t="s">
        <v>95</v>
      </c>
      <c r="B295" s="2">
        <v>45689</v>
      </c>
      <c r="C295" t="s">
        <v>27</v>
      </c>
      <c r="D295">
        <f t="shared" si="16"/>
        <v>0</v>
      </c>
      <c r="E295">
        <f t="shared" si="17"/>
        <v>0</v>
      </c>
      <c r="F295">
        <f t="shared" si="18"/>
        <v>1</v>
      </c>
      <c r="G295" t="s">
        <v>18</v>
      </c>
      <c r="H295">
        <v>40102.879999999997</v>
      </c>
      <c r="I295">
        <v>2358</v>
      </c>
      <c r="J295">
        <v>0.11899999999999999</v>
      </c>
      <c r="K295">
        <v>9</v>
      </c>
      <c r="L295">
        <v>88.7</v>
      </c>
      <c r="M295">
        <v>1.6</v>
      </c>
      <c r="N295">
        <v>0</v>
      </c>
      <c r="O295">
        <v>4.2</v>
      </c>
      <c r="P295">
        <v>533121.26</v>
      </c>
      <c r="Q295">
        <v>55063.39</v>
      </c>
      <c r="U295">
        <v>0</v>
      </c>
      <c r="V295">
        <v>0</v>
      </c>
      <c r="W295">
        <v>1</v>
      </c>
      <c r="X295">
        <v>40102.879999999997</v>
      </c>
      <c r="Y295">
        <v>2358</v>
      </c>
      <c r="Z295">
        <v>88.7</v>
      </c>
      <c r="AA295">
        <v>4.2</v>
      </c>
      <c r="AB295">
        <f t="shared" si="19"/>
        <v>528723.33514466288</v>
      </c>
    </row>
    <row r="296" spans="1:28">
      <c r="A296" t="s">
        <v>95</v>
      </c>
      <c r="B296" s="2">
        <v>45717</v>
      </c>
      <c r="C296" t="s">
        <v>27</v>
      </c>
      <c r="D296">
        <f t="shared" si="16"/>
        <v>0</v>
      </c>
      <c r="E296">
        <f t="shared" si="17"/>
        <v>0</v>
      </c>
      <c r="F296">
        <f t="shared" si="18"/>
        <v>1</v>
      </c>
      <c r="G296" t="s">
        <v>18</v>
      </c>
      <c r="H296">
        <v>59825.51</v>
      </c>
      <c r="I296">
        <v>1231</v>
      </c>
      <c r="J296">
        <v>0.214</v>
      </c>
      <c r="K296">
        <v>10</v>
      </c>
      <c r="L296">
        <v>84.8</v>
      </c>
      <c r="M296">
        <v>8.9600000000000009</v>
      </c>
      <c r="N296">
        <v>0</v>
      </c>
      <c r="O296">
        <v>4.7</v>
      </c>
      <c r="P296">
        <v>498970.32</v>
      </c>
      <c r="Q296">
        <v>69656.7</v>
      </c>
      <c r="U296">
        <v>0</v>
      </c>
      <c r="V296">
        <v>0</v>
      </c>
      <c r="W296">
        <v>1</v>
      </c>
      <c r="X296">
        <v>59825.51</v>
      </c>
      <c r="Y296">
        <v>1231</v>
      </c>
      <c r="Z296">
        <v>84.8</v>
      </c>
      <c r="AA296">
        <v>4.7</v>
      </c>
      <c r="AB296">
        <f t="shared" si="19"/>
        <v>508389.30091405177</v>
      </c>
    </row>
    <row r="297" spans="1:28">
      <c r="A297" t="s">
        <v>95</v>
      </c>
      <c r="B297" s="2">
        <v>45748</v>
      </c>
      <c r="C297" t="s">
        <v>27</v>
      </c>
      <c r="D297">
        <f t="shared" si="16"/>
        <v>0</v>
      </c>
      <c r="E297">
        <f t="shared" si="17"/>
        <v>0</v>
      </c>
      <c r="F297">
        <f t="shared" si="18"/>
        <v>1</v>
      </c>
      <c r="G297" t="s">
        <v>18</v>
      </c>
      <c r="H297">
        <v>27398.28</v>
      </c>
      <c r="I297">
        <v>1723</v>
      </c>
      <c r="J297">
        <v>0.17100000000000001</v>
      </c>
      <c r="K297">
        <v>9</v>
      </c>
      <c r="L297">
        <v>81</v>
      </c>
      <c r="M297">
        <v>0.74</v>
      </c>
      <c r="N297">
        <v>0</v>
      </c>
      <c r="O297">
        <v>4.5999999999999996</v>
      </c>
      <c r="P297">
        <v>487738.26</v>
      </c>
      <c r="Q297">
        <v>96435.6</v>
      </c>
      <c r="U297">
        <v>0</v>
      </c>
      <c r="V297">
        <v>0</v>
      </c>
      <c r="W297">
        <v>1</v>
      </c>
      <c r="X297">
        <v>27398.28</v>
      </c>
      <c r="Y297">
        <v>1723</v>
      </c>
      <c r="Z297">
        <v>81</v>
      </c>
      <c r="AA297">
        <v>4.5999999999999996</v>
      </c>
      <c r="AB297">
        <f t="shared" si="19"/>
        <v>474051.0689293833</v>
      </c>
    </row>
    <row r="298" spans="1:28">
      <c r="A298" t="s">
        <v>96</v>
      </c>
      <c r="B298" s="2">
        <v>45658</v>
      </c>
      <c r="C298" t="s">
        <v>27</v>
      </c>
      <c r="D298">
        <f t="shared" si="16"/>
        <v>0</v>
      </c>
      <c r="E298">
        <f t="shared" si="17"/>
        <v>0</v>
      </c>
      <c r="F298">
        <f t="shared" si="18"/>
        <v>1</v>
      </c>
      <c r="G298" t="s">
        <v>18</v>
      </c>
      <c r="H298">
        <v>55599.56</v>
      </c>
      <c r="I298">
        <v>5896</v>
      </c>
      <c r="J298">
        <v>3.5999999999999997E-2</v>
      </c>
      <c r="K298">
        <v>12</v>
      </c>
      <c r="L298">
        <v>93.1</v>
      </c>
      <c r="M298">
        <v>6.13</v>
      </c>
      <c r="N298">
        <v>0</v>
      </c>
      <c r="O298">
        <v>3.3</v>
      </c>
      <c r="P298">
        <v>668459.37</v>
      </c>
      <c r="Q298">
        <v>126435.42</v>
      </c>
      <c r="U298">
        <v>0</v>
      </c>
      <c r="V298">
        <v>0</v>
      </c>
      <c r="W298">
        <v>1</v>
      </c>
      <c r="X298">
        <v>55599.56</v>
      </c>
      <c r="Y298">
        <v>5896</v>
      </c>
      <c r="Z298">
        <v>93.1</v>
      </c>
      <c r="AA298">
        <v>3.3</v>
      </c>
      <c r="AB298">
        <f t="shared" si="19"/>
        <v>670370.02174919448</v>
      </c>
    </row>
    <row r="299" spans="1:28">
      <c r="A299" t="s">
        <v>96</v>
      </c>
      <c r="B299" s="2">
        <v>45689</v>
      </c>
      <c r="C299" t="s">
        <v>27</v>
      </c>
      <c r="D299">
        <f t="shared" si="16"/>
        <v>0</v>
      </c>
      <c r="E299">
        <f t="shared" si="17"/>
        <v>0</v>
      </c>
      <c r="F299">
        <f t="shared" si="18"/>
        <v>1</v>
      </c>
      <c r="G299" t="s">
        <v>18</v>
      </c>
      <c r="H299">
        <v>55477.61</v>
      </c>
      <c r="I299">
        <v>5903</v>
      </c>
      <c r="J299">
        <v>0.10199999999999999</v>
      </c>
      <c r="K299">
        <v>14</v>
      </c>
      <c r="L299">
        <v>96.2</v>
      </c>
      <c r="M299">
        <v>1.41</v>
      </c>
      <c r="N299">
        <v>0</v>
      </c>
      <c r="O299">
        <v>3.3</v>
      </c>
      <c r="P299">
        <v>763162.45</v>
      </c>
      <c r="Q299">
        <v>162524.04999999999</v>
      </c>
      <c r="U299">
        <v>0</v>
      </c>
      <c r="V299">
        <v>0</v>
      </c>
      <c r="W299">
        <v>1</v>
      </c>
      <c r="X299">
        <v>55477.61</v>
      </c>
      <c r="Y299">
        <v>5903</v>
      </c>
      <c r="Z299">
        <v>96.2</v>
      </c>
      <c r="AA299">
        <v>3.3</v>
      </c>
      <c r="AB299">
        <f t="shared" si="19"/>
        <v>679410.17187670129</v>
      </c>
    </row>
    <row r="300" spans="1:28">
      <c r="A300" t="s">
        <v>96</v>
      </c>
      <c r="B300" s="2">
        <v>45717</v>
      </c>
      <c r="C300" t="s">
        <v>27</v>
      </c>
      <c r="D300">
        <f t="shared" si="16"/>
        <v>0</v>
      </c>
      <c r="E300">
        <f t="shared" si="17"/>
        <v>0</v>
      </c>
      <c r="F300">
        <f t="shared" si="18"/>
        <v>1</v>
      </c>
      <c r="G300" t="s">
        <v>18</v>
      </c>
      <c r="H300">
        <v>46174.7</v>
      </c>
      <c r="I300">
        <v>4898</v>
      </c>
      <c r="J300">
        <v>0.114</v>
      </c>
      <c r="K300">
        <v>11</v>
      </c>
      <c r="L300">
        <v>91.7</v>
      </c>
      <c r="M300">
        <v>3.75</v>
      </c>
      <c r="N300">
        <v>0</v>
      </c>
      <c r="O300">
        <v>3.1</v>
      </c>
      <c r="P300">
        <v>599017.32999999996</v>
      </c>
      <c r="Q300">
        <v>134009.92000000001</v>
      </c>
      <c r="U300">
        <v>0</v>
      </c>
      <c r="V300">
        <v>0</v>
      </c>
      <c r="W300">
        <v>1</v>
      </c>
      <c r="X300">
        <v>46174.7</v>
      </c>
      <c r="Y300">
        <v>4898</v>
      </c>
      <c r="Z300">
        <v>91.7</v>
      </c>
      <c r="AA300">
        <v>3.1</v>
      </c>
      <c r="AB300">
        <f t="shared" si="19"/>
        <v>618876.04879972711</v>
      </c>
    </row>
    <row r="301" spans="1:28">
      <c r="A301" t="s">
        <v>96</v>
      </c>
      <c r="B301" s="2">
        <v>45748</v>
      </c>
      <c r="C301" t="s">
        <v>27</v>
      </c>
      <c r="D301">
        <f t="shared" si="16"/>
        <v>0</v>
      </c>
      <c r="E301">
        <f t="shared" si="17"/>
        <v>0</v>
      </c>
      <c r="F301">
        <f t="shared" si="18"/>
        <v>1</v>
      </c>
      <c r="G301" t="s">
        <v>18</v>
      </c>
      <c r="H301">
        <v>24362.98</v>
      </c>
      <c r="I301">
        <v>1462</v>
      </c>
      <c r="J301">
        <v>0.11700000000000001</v>
      </c>
      <c r="K301">
        <v>6</v>
      </c>
      <c r="L301">
        <v>89.3</v>
      </c>
      <c r="M301">
        <v>15.06</v>
      </c>
      <c r="N301">
        <v>0</v>
      </c>
      <c r="O301">
        <v>3.2</v>
      </c>
      <c r="P301">
        <v>401582.58</v>
      </c>
      <c r="Q301">
        <v>68454.929999999993</v>
      </c>
      <c r="U301">
        <v>0</v>
      </c>
      <c r="V301">
        <v>0</v>
      </c>
      <c r="W301">
        <v>1</v>
      </c>
      <c r="X301">
        <v>24362.98</v>
      </c>
      <c r="Y301">
        <v>1462</v>
      </c>
      <c r="Z301">
        <v>89.3</v>
      </c>
      <c r="AA301">
        <v>3.2</v>
      </c>
      <c r="AB301">
        <f t="shared" si="19"/>
        <v>470056.82889288053</v>
      </c>
    </row>
    <row r="302" spans="1:28">
      <c r="A302" t="s">
        <v>97</v>
      </c>
      <c r="B302" s="2">
        <v>45658</v>
      </c>
      <c r="C302" t="s">
        <v>20</v>
      </c>
      <c r="D302">
        <f t="shared" si="16"/>
        <v>1</v>
      </c>
      <c r="E302">
        <f t="shared" si="17"/>
        <v>0</v>
      </c>
      <c r="F302">
        <f t="shared" si="18"/>
        <v>0</v>
      </c>
      <c r="G302" t="s">
        <v>28</v>
      </c>
      <c r="H302">
        <v>40647.67</v>
      </c>
      <c r="I302">
        <v>8252</v>
      </c>
      <c r="J302">
        <v>0.14099999999999999</v>
      </c>
      <c r="K302">
        <v>22</v>
      </c>
      <c r="L302">
        <v>88.2</v>
      </c>
      <c r="M302">
        <v>5.07</v>
      </c>
      <c r="N302">
        <v>1</v>
      </c>
      <c r="O302">
        <v>4.0999999999999996</v>
      </c>
      <c r="P302">
        <v>703812.99</v>
      </c>
      <c r="Q302">
        <v>133577.98000000001</v>
      </c>
      <c r="U302">
        <v>1</v>
      </c>
      <c r="V302">
        <v>0</v>
      </c>
      <c r="W302">
        <v>0</v>
      </c>
      <c r="X302">
        <v>40647.67</v>
      </c>
      <c r="Y302">
        <v>8252</v>
      </c>
      <c r="Z302">
        <v>88.2</v>
      </c>
      <c r="AA302">
        <v>4.0999999999999996</v>
      </c>
      <c r="AB302">
        <f t="shared" si="19"/>
        <v>718759.95269499393</v>
      </c>
    </row>
    <row r="303" spans="1:28">
      <c r="A303" t="s">
        <v>97</v>
      </c>
      <c r="B303" s="2">
        <v>45689</v>
      </c>
      <c r="C303" t="s">
        <v>20</v>
      </c>
      <c r="D303">
        <f t="shared" si="16"/>
        <v>1</v>
      </c>
      <c r="E303">
        <f t="shared" si="17"/>
        <v>0</v>
      </c>
      <c r="F303">
        <f t="shared" si="18"/>
        <v>0</v>
      </c>
      <c r="G303" t="s">
        <v>28</v>
      </c>
      <c r="H303">
        <v>63986.98</v>
      </c>
      <c r="I303">
        <v>7989</v>
      </c>
      <c r="J303">
        <v>7.3999999999999996E-2</v>
      </c>
      <c r="K303">
        <v>20</v>
      </c>
      <c r="L303">
        <v>83.3</v>
      </c>
      <c r="M303">
        <v>3.6</v>
      </c>
      <c r="N303">
        <v>0</v>
      </c>
      <c r="O303">
        <v>3.7</v>
      </c>
      <c r="P303">
        <v>724346.73</v>
      </c>
      <c r="Q303">
        <v>155013.91</v>
      </c>
      <c r="U303">
        <v>1</v>
      </c>
      <c r="V303">
        <v>0</v>
      </c>
      <c r="W303">
        <v>0</v>
      </c>
      <c r="X303">
        <v>63986.98</v>
      </c>
      <c r="Y303">
        <v>7989</v>
      </c>
      <c r="Z303">
        <v>83.3</v>
      </c>
      <c r="AA303">
        <v>3.7</v>
      </c>
      <c r="AB303">
        <f t="shared" si="19"/>
        <v>719327.32802081446</v>
      </c>
    </row>
    <row r="304" spans="1:28">
      <c r="A304" t="s">
        <v>97</v>
      </c>
      <c r="B304" s="2">
        <v>45717</v>
      </c>
      <c r="C304" t="s">
        <v>20</v>
      </c>
      <c r="D304">
        <f t="shared" si="16"/>
        <v>1</v>
      </c>
      <c r="E304">
        <f t="shared" si="17"/>
        <v>0</v>
      </c>
      <c r="F304">
        <f t="shared" si="18"/>
        <v>0</v>
      </c>
      <c r="G304" t="s">
        <v>28</v>
      </c>
      <c r="H304">
        <v>52843.75</v>
      </c>
      <c r="I304">
        <v>8268</v>
      </c>
      <c r="J304">
        <v>0.13800000000000001</v>
      </c>
      <c r="K304">
        <v>19</v>
      </c>
      <c r="L304">
        <v>87.3</v>
      </c>
      <c r="M304">
        <v>4.3899999999999997</v>
      </c>
      <c r="N304">
        <v>1</v>
      </c>
      <c r="O304">
        <v>4.7</v>
      </c>
      <c r="P304">
        <v>730890.01</v>
      </c>
      <c r="Q304">
        <v>105502.56</v>
      </c>
      <c r="U304">
        <v>1</v>
      </c>
      <c r="V304">
        <v>0</v>
      </c>
      <c r="W304">
        <v>0</v>
      </c>
      <c r="X304">
        <v>52843.75</v>
      </c>
      <c r="Y304">
        <v>8268</v>
      </c>
      <c r="Z304">
        <v>87.3</v>
      </c>
      <c r="AA304">
        <v>4.7</v>
      </c>
      <c r="AB304">
        <f t="shared" si="19"/>
        <v>737983.65615103988</v>
      </c>
    </row>
    <row r="305" spans="1:28">
      <c r="A305" t="s">
        <v>97</v>
      </c>
      <c r="B305" s="2">
        <v>45748</v>
      </c>
      <c r="C305" t="s">
        <v>20</v>
      </c>
      <c r="D305">
        <f t="shared" si="16"/>
        <v>1</v>
      </c>
      <c r="E305">
        <f t="shared" si="17"/>
        <v>0</v>
      </c>
      <c r="F305">
        <f t="shared" si="18"/>
        <v>0</v>
      </c>
      <c r="G305" t="s">
        <v>28</v>
      </c>
      <c r="H305">
        <v>31997.25</v>
      </c>
      <c r="I305">
        <v>8183</v>
      </c>
      <c r="J305">
        <v>0.19800000000000001</v>
      </c>
      <c r="K305">
        <v>18</v>
      </c>
      <c r="L305">
        <v>93</v>
      </c>
      <c r="M305">
        <v>2.79</v>
      </c>
      <c r="N305">
        <v>0</v>
      </c>
      <c r="O305">
        <v>4.2</v>
      </c>
      <c r="P305">
        <v>780580.95</v>
      </c>
      <c r="Q305">
        <v>138144.46</v>
      </c>
      <c r="U305">
        <v>1</v>
      </c>
      <c r="V305">
        <v>0</v>
      </c>
      <c r="W305">
        <v>0</v>
      </c>
      <c r="X305">
        <v>31997.25</v>
      </c>
      <c r="Y305">
        <v>8183</v>
      </c>
      <c r="Z305">
        <v>93</v>
      </c>
      <c r="AA305">
        <v>4.2</v>
      </c>
      <c r="AB305">
        <f t="shared" si="19"/>
        <v>720973.69494820607</v>
      </c>
    </row>
    <row r="306" spans="1:28">
      <c r="A306" t="s">
        <v>98</v>
      </c>
      <c r="B306" s="2">
        <v>45658</v>
      </c>
      <c r="C306" t="s">
        <v>24</v>
      </c>
      <c r="D306">
        <f t="shared" si="16"/>
        <v>0</v>
      </c>
      <c r="E306">
        <f t="shared" si="17"/>
        <v>1</v>
      </c>
      <c r="F306">
        <f t="shared" si="18"/>
        <v>0</v>
      </c>
      <c r="G306" t="s">
        <v>16</v>
      </c>
      <c r="H306">
        <v>54948.02</v>
      </c>
      <c r="I306">
        <v>6534</v>
      </c>
      <c r="J306">
        <v>0.183</v>
      </c>
      <c r="K306">
        <v>14</v>
      </c>
      <c r="L306">
        <v>94.5</v>
      </c>
      <c r="M306">
        <v>1.56</v>
      </c>
      <c r="N306">
        <v>0</v>
      </c>
      <c r="O306">
        <v>4</v>
      </c>
      <c r="P306">
        <v>727957.48</v>
      </c>
      <c r="Q306">
        <v>74805.23</v>
      </c>
      <c r="U306">
        <v>0</v>
      </c>
      <c r="V306">
        <v>1</v>
      </c>
      <c r="W306">
        <v>0</v>
      </c>
      <c r="X306">
        <v>54948.02</v>
      </c>
      <c r="Y306">
        <v>6534</v>
      </c>
      <c r="Z306">
        <v>94.5</v>
      </c>
      <c r="AA306">
        <v>4</v>
      </c>
      <c r="AB306">
        <f t="shared" si="19"/>
        <v>707957.15685693559</v>
      </c>
    </row>
    <row r="307" spans="1:28">
      <c r="A307" t="s">
        <v>98</v>
      </c>
      <c r="B307" s="2">
        <v>45689</v>
      </c>
      <c r="C307" t="s">
        <v>24</v>
      </c>
      <c r="D307">
        <f t="shared" si="16"/>
        <v>0</v>
      </c>
      <c r="E307">
        <f t="shared" si="17"/>
        <v>1</v>
      </c>
      <c r="F307">
        <f t="shared" si="18"/>
        <v>0</v>
      </c>
      <c r="G307" t="s">
        <v>16</v>
      </c>
      <c r="H307">
        <v>46146.239999999998</v>
      </c>
      <c r="I307">
        <v>5804</v>
      </c>
      <c r="J307">
        <v>4.7E-2</v>
      </c>
      <c r="K307">
        <v>16</v>
      </c>
      <c r="L307">
        <v>86.9</v>
      </c>
      <c r="M307">
        <v>15.82</v>
      </c>
      <c r="N307">
        <v>0</v>
      </c>
      <c r="O307">
        <v>3.8</v>
      </c>
      <c r="P307">
        <v>538376</v>
      </c>
      <c r="Q307">
        <v>87605.62</v>
      </c>
      <c r="U307">
        <v>0</v>
      </c>
      <c r="V307">
        <v>1</v>
      </c>
      <c r="W307">
        <v>0</v>
      </c>
      <c r="X307">
        <v>46146.239999999998</v>
      </c>
      <c r="Y307">
        <v>5804</v>
      </c>
      <c r="Z307">
        <v>86.9</v>
      </c>
      <c r="AA307">
        <v>3.8</v>
      </c>
      <c r="AB307">
        <f t="shared" si="19"/>
        <v>648422.32201262633</v>
      </c>
    </row>
    <row r="308" spans="1:28">
      <c r="A308" t="s">
        <v>98</v>
      </c>
      <c r="B308" s="2">
        <v>45717</v>
      </c>
      <c r="C308" t="s">
        <v>24</v>
      </c>
      <c r="D308">
        <f t="shared" si="16"/>
        <v>0</v>
      </c>
      <c r="E308">
        <f t="shared" si="17"/>
        <v>1</v>
      </c>
      <c r="F308">
        <f t="shared" si="18"/>
        <v>0</v>
      </c>
      <c r="G308" t="s">
        <v>16</v>
      </c>
      <c r="H308">
        <v>22387.26</v>
      </c>
      <c r="I308">
        <v>6301</v>
      </c>
      <c r="J308">
        <v>0.14599999999999999</v>
      </c>
      <c r="K308">
        <v>14</v>
      </c>
      <c r="L308">
        <v>85.9</v>
      </c>
      <c r="M308">
        <v>1.17</v>
      </c>
      <c r="N308">
        <v>1</v>
      </c>
      <c r="O308">
        <v>3.7</v>
      </c>
      <c r="P308">
        <v>665342.49</v>
      </c>
      <c r="Q308">
        <v>93441.81</v>
      </c>
      <c r="U308">
        <v>0</v>
      </c>
      <c r="V308">
        <v>1</v>
      </c>
      <c r="W308">
        <v>0</v>
      </c>
      <c r="X308">
        <v>22387.26</v>
      </c>
      <c r="Y308">
        <v>6301</v>
      </c>
      <c r="Z308">
        <v>85.9</v>
      </c>
      <c r="AA308">
        <v>3.7</v>
      </c>
      <c r="AB308">
        <f t="shared" si="19"/>
        <v>632758.47466211976</v>
      </c>
    </row>
    <row r="309" spans="1:28">
      <c r="A309" t="s">
        <v>98</v>
      </c>
      <c r="B309" s="2">
        <v>45748</v>
      </c>
      <c r="C309" t="s">
        <v>24</v>
      </c>
      <c r="D309">
        <f t="shared" si="16"/>
        <v>0</v>
      </c>
      <c r="E309">
        <f t="shared" si="17"/>
        <v>1</v>
      </c>
      <c r="F309">
        <f t="shared" si="18"/>
        <v>0</v>
      </c>
      <c r="G309" t="s">
        <v>16</v>
      </c>
      <c r="H309">
        <v>60684.05</v>
      </c>
      <c r="I309">
        <v>6399</v>
      </c>
      <c r="J309">
        <v>7.4999999999999997E-2</v>
      </c>
      <c r="K309">
        <v>16</v>
      </c>
      <c r="L309">
        <v>99</v>
      </c>
      <c r="M309">
        <v>3.82</v>
      </c>
      <c r="N309">
        <v>0</v>
      </c>
      <c r="O309">
        <v>3.5</v>
      </c>
      <c r="P309">
        <v>651164.18000000005</v>
      </c>
      <c r="Q309">
        <v>109466.5</v>
      </c>
      <c r="U309">
        <v>0</v>
      </c>
      <c r="V309">
        <v>1</v>
      </c>
      <c r="W309">
        <v>0</v>
      </c>
      <c r="X309">
        <v>60684.05</v>
      </c>
      <c r="Y309">
        <v>6399</v>
      </c>
      <c r="Z309">
        <v>99</v>
      </c>
      <c r="AA309">
        <v>3.5</v>
      </c>
      <c r="AB309">
        <f t="shared" si="19"/>
        <v>717743.36927332287</v>
      </c>
    </row>
    <row r="310" spans="1:28">
      <c r="A310" t="s">
        <v>99</v>
      </c>
      <c r="B310" s="2">
        <v>45658</v>
      </c>
      <c r="C310" t="s">
        <v>24</v>
      </c>
      <c r="D310">
        <f t="shared" si="16"/>
        <v>0</v>
      </c>
      <c r="E310">
        <f t="shared" si="17"/>
        <v>1</v>
      </c>
      <c r="F310">
        <f t="shared" si="18"/>
        <v>0</v>
      </c>
      <c r="G310" t="s">
        <v>18</v>
      </c>
      <c r="H310">
        <v>48465.599999999999</v>
      </c>
      <c r="I310">
        <v>5759</v>
      </c>
      <c r="J310">
        <v>0.154</v>
      </c>
      <c r="K310">
        <v>13</v>
      </c>
      <c r="L310">
        <v>87.5</v>
      </c>
      <c r="M310">
        <v>4.1399999999999997</v>
      </c>
      <c r="N310">
        <v>0</v>
      </c>
      <c r="O310">
        <v>4</v>
      </c>
      <c r="P310">
        <v>628538.30000000005</v>
      </c>
      <c r="Q310">
        <v>112509.15</v>
      </c>
      <c r="U310">
        <v>0</v>
      </c>
      <c r="V310">
        <v>1</v>
      </c>
      <c r="W310">
        <v>0</v>
      </c>
      <c r="X310">
        <v>48465.599999999999</v>
      </c>
      <c r="Y310">
        <v>5759</v>
      </c>
      <c r="Z310">
        <v>87.5</v>
      </c>
      <c r="AA310">
        <v>4</v>
      </c>
      <c r="AB310">
        <f t="shared" si="19"/>
        <v>653618.57416813564</v>
      </c>
    </row>
    <row r="311" spans="1:28">
      <c r="A311" t="s">
        <v>99</v>
      </c>
      <c r="B311" s="2">
        <v>45689</v>
      </c>
      <c r="C311" t="s">
        <v>24</v>
      </c>
      <c r="D311">
        <f t="shared" si="16"/>
        <v>0</v>
      </c>
      <c r="E311">
        <f t="shared" si="17"/>
        <v>1</v>
      </c>
      <c r="F311">
        <f t="shared" si="18"/>
        <v>0</v>
      </c>
      <c r="G311" t="s">
        <v>18</v>
      </c>
      <c r="H311">
        <v>23702.38</v>
      </c>
      <c r="I311">
        <v>5285</v>
      </c>
      <c r="J311">
        <v>0.16700000000000001</v>
      </c>
      <c r="K311">
        <v>14</v>
      </c>
      <c r="L311">
        <v>79.7</v>
      </c>
      <c r="M311">
        <v>1.1000000000000001</v>
      </c>
      <c r="N311">
        <v>0</v>
      </c>
      <c r="O311">
        <v>4.3</v>
      </c>
      <c r="P311">
        <v>536524.84</v>
      </c>
      <c r="Q311">
        <v>92752.94</v>
      </c>
      <c r="U311">
        <v>0</v>
      </c>
      <c r="V311">
        <v>1</v>
      </c>
      <c r="W311">
        <v>0</v>
      </c>
      <c r="X311">
        <v>23702.38</v>
      </c>
      <c r="Y311">
        <v>5285</v>
      </c>
      <c r="Z311">
        <v>79.7</v>
      </c>
      <c r="AA311">
        <v>4.3</v>
      </c>
      <c r="AB311">
        <f t="shared" si="19"/>
        <v>588528.84295588487</v>
      </c>
    </row>
    <row r="312" spans="1:28">
      <c r="A312" t="s">
        <v>99</v>
      </c>
      <c r="B312" s="2">
        <v>45717</v>
      </c>
      <c r="C312" t="s">
        <v>24</v>
      </c>
      <c r="D312">
        <f t="shared" si="16"/>
        <v>0</v>
      </c>
      <c r="E312">
        <f t="shared" si="17"/>
        <v>1</v>
      </c>
      <c r="F312">
        <f t="shared" si="18"/>
        <v>0</v>
      </c>
      <c r="G312" t="s">
        <v>18</v>
      </c>
      <c r="H312">
        <v>54322.94</v>
      </c>
      <c r="I312">
        <v>5434</v>
      </c>
      <c r="J312">
        <v>0.2</v>
      </c>
      <c r="K312">
        <v>13</v>
      </c>
      <c r="L312">
        <v>85.7</v>
      </c>
      <c r="M312">
        <v>10.6</v>
      </c>
      <c r="N312">
        <v>0</v>
      </c>
      <c r="O312">
        <v>4.2</v>
      </c>
      <c r="P312">
        <v>621677.30000000005</v>
      </c>
      <c r="Q312">
        <v>105192.52</v>
      </c>
      <c r="U312">
        <v>0</v>
      </c>
      <c r="V312">
        <v>1</v>
      </c>
      <c r="W312">
        <v>0</v>
      </c>
      <c r="X312">
        <v>54322.94</v>
      </c>
      <c r="Y312">
        <v>5434</v>
      </c>
      <c r="Z312">
        <v>85.7</v>
      </c>
      <c r="AA312">
        <v>4.2</v>
      </c>
      <c r="AB312">
        <f t="shared" si="19"/>
        <v>646624.69037406554</v>
      </c>
    </row>
    <row r="313" spans="1:28">
      <c r="A313" t="s">
        <v>99</v>
      </c>
      <c r="B313" s="2">
        <v>45748</v>
      </c>
      <c r="C313" t="s">
        <v>24</v>
      </c>
      <c r="D313">
        <f t="shared" si="16"/>
        <v>0</v>
      </c>
      <c r="E313">
        <f t="shared" si="17"/>
        <v>1</v>
      </c>
      <c r="F313">
        <f t="shared" si="18"/>
        <v>0</v>
      </c>
      <c r="G313" t="s">
        <v>18</v>
      </c>
      <c r="H313">
        <v>86026.58</v>
      </c>
      <c r="I313">
        <v>7479</v>
      </c>
      <c r="J313">
        <v>0.14199999999999999</v>
      </c>
      <c r="K313">
        <v>20</v>
      </c>
      <c r="L313">
        <v>89</v>
      </c>
      <c r="M313">
        <v>0.9</v>
      </c>
      <c r="N313">
        <v>0</v>
      </c>
      <c r="O313">
        <v>3.92</v>
      </c>
      <c r="P313">
        <v>771129.07</v>
      </c>
      <c r="Q313">
        <v>116851.13</v>
      </c>
      <c r="U313">
        <v>0</v>
      </c>
      <c r="V313">
        <v>1</v>
      </c>
      <c r="W313">
        <v>0</v>
      </c>
      <c r="X313">
        <v>86026.58</v>
      </c>
      <c r="Y313">
        <v>7479</v>
      </c>
      <c r="Z313">
        <v>89</v>
      </c>
      <c r="AA313">
        <v>3.92</v>
      </c>
      <c r="AB313">
        <f t="shared" si="19"/>
        <v>760678.16443940403</v>
      </c>
    </row>
    <row r="314" spans="1:28">
      <c r="A314" t="s">
        <v>100</v>
      </c>
      <c r="B314" s="2">
        <v>45658</v>
      </c>
      <c r="C314" t="s">
        <v>20</v>
      </c>
      <c r="D314">
        <f t="shared" si="16"/>
        <v>1</v>
      </c>
      <c r="E314">
        <f t="shared" si="17"/>
        <v>0</v>
      </c>
      <c r="F314">
        <f t="shared" si="18"/>
        <v>0</v>
      </c>
      <c r="G314" t="s">
        <v>16</v>
      </c>
      <c r="H314">
        <v>78967.520000000004</v>
      </c>
      <c r="I314">
        <v>6164</v>
      </c>
      <c r="J314">
        <v>2.1000000000000001E-2</v>
      </c>
      <c r="K314">
        <v>16</v>
      </c>
      <c r="L314">
        <v>85.5</v>
      </c>
      <c r="M314">
        <v>0.2</v>
      </c>
      <c r="N314">
        <v>0</v>
      </c>
      <c r="O314">
        <v>3.4</v>
      </c>
      <c r="P314">
        <v>702052.47</v>
      </c>
      <c r="Q314">
        <v>121732.51</v>
      </c>
      <c r="U314">
        <v>1</v>
      </c>
      <c r="V314">
        <v>0</v>
      </c>
      <c r="W314">
        <v>0</v>
      </c>
      <c r="X314">
        <v>78967.520000000004</v>
      </c>
      <c r="Y314">
        <v>6164</v>
      </c>
      <c r="Z314">
        <v>85.5</v>
      </c>
      <c r="AA314">
        <v>3.4</v>
      </c>
      <c r="AB314">
        <f t="shared" si="19"/>
        <v>678360.08344066748</v>
      </c>
    </row>
    <row r="315" spans="1:28">
      <c r="A315" t="s">
        <v>100</v>
      </c>
      <c r="B315" s="2">
        <v>45689</v>
      </c>
      <c r="C315" t="s">
        <v>20</v>
      </c>
      <c r="D315">
        <f t="shared" si="16"/>
        <v>1</v>
      </c>
      <c r="E315">
        <f t="shared" si="17"/>
        <v>0</v>
      </c>
      <c r="F315">
        <f t="shared" si="18"/>
        <v>0</v>
      </c>
      <c r="G315" t="s">
        <v>16</v>
      </c>
      <c r="H315">
        <v>46767.99</v>
      </c>
      <c r="I315">
        <v>7973</v>
      </c>
      <c r="J315">
        <v>0.183</v>
      </c>
      <c r="K315">
        <v>18</v>
      </c>
      <c r="L315">
        <v>94.8</v>
      </c>
      <c r="M315">
        <v>4.67</v>
      </c>
      <c r="N315">
        <v>0</v>
      </c>
      <c r="O315">
        <v>3.92</v>
      </c>
      <c r="P315">
        <v>688368.46</v>
      </c>
      <c r="Q315">
        <v>93588.42</v>
      </c>
      <c r="U315">
        <v>1</v>
      </c>
      <c r="V315">
        <v>0</v>
      </c>
      <c r="W315">
        <v>0</v>
      </c>
      <c r="X315">
        <v>46767.99</v>
      </c>
      <c r="Y315">
        <v>7973</v>
      </c>
      <c r="Z315">
        <v>94.8</v>
      </c>
      <c r="AA315">
        <v>3.92</v>
      </c>
      <c r="AB315">
        <f t="shared" si="19"/>
        <v>733704.59363992419</v>
      </c>
    </row>
    <row r="316" spans="1:28">
      <c r="A316" t="s">
        <v>100</v>
      </c>
      <c r="B316" s="2">
        <v>45717</v>
      </c>
      <c r="C316" t="s">
        <v>20</v>
      </c>
      <c r="D316">
        <f t="shared" si="16"/>
        <v>1</v>
      </c>
      <c r="E316">
        <f t="shared" si="17"/>
        <v>0</v>
      </c>
      <c r="F316">
        <f t="shared" si="18"/>
        <v>0</v>
      </c>
      <c r="G316" t="s">
        <v>16</v>
      </c>
      <c r="H316">
        <v>62507.16</v>
      </c>
      <c r="I316">
        <v>6000</v>
      </c>
      <c r="J316">
        <v>9.0999999999999998E-2</v>
      </c>
      <c r="K316">
        <v>14</v>
      </c>
      <c r="L316">
        <v>98.2</v>
      </c>
      <c r="M316">
        <v>4.38</v>
      </c>
      <c r="N316">
        <v>1</v>
      </c>
      <c r="O316">
        <v>3.9</v>
      </c>
      <c r="P316">
        <v>712375.77</v>
      </c>
      <c r="Q316">
        <v>104171.53</v>
      </c>
      <c r="U316">
        <v>1</v>
      </c>
      <c r="V316">
        <v>0</v>
      </c>
      <c r="W316">
        <v>0</v>
      </c>
      <c r="X316">
        <v>62507.16</v>
      </c>
      <c r="Y316">
        <v>6000</v>
      </c>
      <c r="Z316">
        <v>98.2</v>
      </c>
      <c r="AA316">
        <v>3.9</v>
      </c>
      <c r="AB316">
        <f t="shared" si="19"/>
        <v>695170.83872737223</v>
      </c>
    </row>
    <row r="317" spans="1:28">
      <c r="A317" t="s">
        <v>100</v>
      </c>
      <c r="B317" s="2">
        <v>45748</v>
      </c>
      <c r="C317" t="s">
        <v>20</v>
      </c>
      <c r="D317">
        <f t="shared" si="16"/>
        <v>1</v>
      </c>
      <c r="E317">
        <f t="shared" si="17"/>
        <v>0</v>
      </c>
      <c r="F317">
        <f t="shared" si="18"/>
        <v>0</v>
      </c>
      <c r="G317" t="s">
        <v>16</v>
      </c>
      <c r="H317">
        <v>66456.28</v>
      </c>
      <c r="I317">
        <v>9967</v>
      </c>
      <c r="J317">
        <v>0.108</v>
      </c>
      <c r="K317">
        <v>20</v>
      </c>
      <c r="L317">
        <v>94.7</v>
      </c>
      <c r="M317">
        <v>4.4800000000000004</v>
      </c>
      <c r="N317">
        <v>0</v>
      </c>
      <c r="O317">
        <v>4.2</v>
      </c>
      <c r="P317">
        <v>844710.67</v>
      </c>
      <c r="Q317">
        <v>137140.18</v>
      </c>
      <c r="U317">
        <v>1</v>
      </c>
      <c r="V317">
        <v>0</v>
      </c>
      <c r="W317">
        <v>0</v>
      </c>
      <c r="X317">
        <v>66456.28</v>
      </c>
      <c r="Y317">
        <v>9967</v>
      </c>
      <c r="Z317">
        <v>94.7</v>
      </c>
      <c r="AA317">
        <v>4.2</v>
      </c>
      <c r="AB317">
        <f t="shared" si="19"/>
        <v>827938.23191951134</v>
      </c>
    </row>
    <row r="318" spans="1:28">
      <c r="A318" t="s">
        <v>101</v>
      </c>
      <c r="B318" s="2">
        <v>45658</v>
      </c>
      <c r="C318" t="s">
        <v>15</v>
      </c>
      <c r="D318">
        <f t="shared" si="16"/>
        <v>0</v>
      </c>
      <c r="E318">
        <f t="shared" si="17"/>
        <v>0</v>
      </c>
      <c r="F318">
        <f t="shared" si="18"/>
        <v>0</v>
      </c>
      <c r="G318" t="s">
        <v>16</v>
      </c>
      <c r="H318">
        <v>76614.320000000007</v>
      </c>
      <c r="I318">
        <v>5639</v>
      </c>
      <c r="J318">
        <v>0.17399999999999999</v>
      </c>
      <c r="K318">
        <v>15</v>
      </c>
      <c r="L318">
        <v>92.9</v>
      </c>
      <c r="M318">
        <v>1.02</v>
      </c>
      <c r="N318">
        <v>1</v>
      </c>
      <c r="O318">
        <v>4</v>
      </c>
      <c r="P318">
        <v>620264.19999999995</v>
      </c>
      <c r="Q318">
        <v>91365.64</v>
      </c>
      <c r="U318">
        <v>0</v>
      </c>
      <c r="V318">
        <v>0</v>
      </c>
      <c r="W318">
        <v>0</v>
      </c>
      <c r="X318">
        <v>76614.320000000007</v>
      </c>
      <c r="Y318">
        <v>5639</v>
      </c>
      <c r="Z318">
        <v>92.9</v>
      </c>
      <c r="AA318">
        <v>4</v>
      </c>
      <c r="AB318">
        <f t="shared" si="19"/>
        <v>676998.86733901442</v>
      </c>
    </row>
    <row r="319" spans="1:28">
      <c r="A319" t="s">
        <v>101</v>
      </c>
      <c r="B319" s="2">
        <v>45689</v>
      </c>
      <c r="C319" t="s">
        <v>15</v>
      </c>
      <c r="D319">
        <f t="shared" si="16"/>
        <v>0</v>
      </c>
      <c r="E319">
        <f t="shared" si="17"/>
        <v>0</v>
      </c>
      <c r="F319">
        <f t="shared" si="18"/>
        <v>0</v>
      </c>
      <c r="G319" t="s">
        <v>16</v>
      </c>
      <c r="H319">
        <v>24088.06</v>
      </c>
      <c r="I319">
        <v>3466</v>
      </c>
      <c r="J319">
        <v>0</v>
      </c>
      <c r="K319">
        <v>11</v>
      </c>
      <c r="L319">
        <v>88</v>
      </c>
      <c r="M319">
        <v>0.2</v>
      </c>
      <c r="N319">
        <v>0</v>
      </c>
      <c r="O319">
        <v>3.8</v>
      </c>
      <c r="P319">
        <v>536845.42000000004</v>
      </c>
      <c r="Q319">
        <v>107473.75</v>
      </c>
      <c r="U319">
        <v>0</v>
      </c>
      <c r="V319">
        <v>0</v>
      </c>
      <c r="W319">
        <v>0</v>
      </c>
      <c r="X319">
        <v>24088.06</v>
      </c>
      <c r="Y319">
        <v>3466</v>
      </c>
      <c r="Z319">
        <v>88</v>
      </c>
      <c r="AA319">
        <v>3.8</v>
      </c>
      <c r="AB319">
        <f t="shared" si="19"/>
        <v>523650.15582847054</v>
      </c>
    </row>
    <row r="320" spans="1:28">
      <c r="A320" t="s">
        <v>101</v>
      </c>
      <c r="B320" s="2">
        <v>45717</v>
      </c>
      <c r="C320" t="s">
        <v>15</v>
      </c>
      <c r="D320">
        <f t="shared" si="16"/>
        <v>0</v>
      </c>
      <c r="E320">
        <f t="shared" si="17"/>
        <v>0</v>
      </c>
      <c r="F320">
        <f t="shared" si="18"/>
        <v>0</v>
      </c>
      <c r="G320" t="s">
        <v>16</v>
      </c>
      <c r="H320">
        <v>81902.58</v>
      </c>
      <c r="I320">
        <v>7775</v>
      </c>
      <c r="J320">
        <v>0.215</v>
      </c>
      <c r="K320">
        <v>20</v>
      </c>
      <c r="L320">
        <v>85.2</v>
      </c>
      <c r="M320">
        <v>4.8899999999999997</v>
      </c>
      <c r="N320">
        <v>1</v>
      </c>
      <c r="O320">
        <v>4.2</v>
      </c>
      <c r="P320">
        <v>726776.22</v>
      </c>
      <c r="Q320">
        <v>90804.49</v>
      </c>
      <c r="U320">
        <v>0</v>
      </c>
      <c r="V320">
        <v>0</v>
      </c>
      <c r="W320">
        <v>0</v>
      </c>
      <c r="X320">
        <v>81902.58</v>
      </c>
      <c r="Y320">
        <v>7775</v>
      </c>
      <c r="Z320">
        <v>85.2</v>
      </c>
      <c r="AA320">
        <v>4.2</v>
      </c>
      <c r="AB320">
        <f t="shared" si="19"/>
        <v>735924.31440246012</v>
      </c>
    </row>
    <row r="321" spans="1:28">
      <c r="A321" t="s">
        <v>101</v>
      </c>
      <c r="B321" s="2">
        <v>45748</v>
      </c>
      <c r="C321" t="s">
        <v>15</v>
      </c>
      <c r="D321">
        <f t="shared" si="16"/>
        <v>0</v>
      </c>
      <c r="E321">
        <f t="shared" si="17"/>
        <v>0</v>
      </c>
      <c r="F321">
        <f t="shared" si="18"/>
        <v>0</v>
      </c>
      <c r="G321" t="s">
        <v>16</v>
      </c>
      <c r="H321">
        <v>40553.11</v>
      </c>
      <c r="I321">
        <v>5317</v>
      </c>
      <c r="J321">
        <v>0.16500000000000001</v>
      </c>
      <c r="K321">
        <v>17</v>
      </c>
      <c r="L321">
        <v>84.3</v>
      </c>
      <c r="M321">
        <v>11.82</v>
      </c>
      <c r="N321">
        <v>0</v>
      </c>
      <c r="O321">
        <v>4.0999999999999996</v>
      </c>
      <c r="P321">
        <v>559660.84</v>
      </c>
      <c r="Q321">
        <v>71443.61</v>
      </c>
      <c r="U321">
        <v>0</v>
      </c>
      <c r="V321">
        <v>0</v>
      </c>
      <c r="W321">
        <v>0</v>
      </c>
      <c r="X321">
        <v>40553.11</v>
      </c>
      <c r="Y321">
        <v>5317</v>
      </c>
      <c r="Z321">
        <v>84.3</v>
      </c>
      <c r="AA321">
        <v>4.0999999999999996</v>
      </c>
      <c r="AB321">
        <f t="shared" si="19"/>
        <v>598977.08467800939</v>
      </c>
    </row>
  </sheetData>
  <autoFilter ref="A1:Q1" xr:uid="{B5809707-3327-4EDC-9ECE-323AF4849CE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13BE-CDBD-4EA6-AC19-1A26A33113B5}">
  <dimension ref="A1:K321"/>
  <sheetViews>
    <sheetView workbookViewId="0">
      <selection activeCell="F2" sqref="F2:F6"/>
    </sheetView>
  </sheetViews>
  <sheetFormatPr defaultRowHeight="13.8"/>
  <cols>
    <col min="1" max="1" width="13.69921875" customWidth="1"/>
    <col min="3" max="3" width="14.8984375" customWidth="1"/>
    <col min="4" max="4" width="21.09765625" customWidth="1"/>
    <col min="5" max="5" width="38.3984375" customWidth="1"/>
    <col min="6" max="6" width="17.19921875" customWidth="1"/>
    <col min="7" max="7" width="11.8984375" bestFit="1" customWidth="1"/>
    <col min="8" max="8" width="12.5" bestFit="1" customWidth="1"/>
  </cols>
  <sheetData>
    <row r="1" spans="1:11" ht="55.2">
      <c r="A1" s="1" t="s">
        <v>0</v>
      </c>
      <c r="B1" s="1" t="s">
        <v>2</v>
      </c>
      <c r="C1" s="1" t="s">
        <v>3</v>
      </c>
      <c r="D1" s="1" t="s">
        <v>12</v>
      </c>
      <c r="E1" s="1" t="s">
        <v>152</v>
      </c>
      <c r="F1" s="1" t="s">
        <v>130</v>
      </c>
      <c r="J1" s="1" t="s">
        <v>153</v>
      </c>
      <c r="K1" s="1" t="s">
        <v>154</v>
      </c>
    </row>
    <row r="2" spans="1:11">
      <c r="A2" t="s">
        <v>49</v>
      </c>
      <c r="B2" t="s">
        <v>15</v>
      </c>
      <c r="C2" t="s">
        <v>28</v>
      </c>
      <c r="D2">
        <v>713611.16</v>
      </c>
      <c r="E2">
        <v>585781.29579013167</v>
      </c>
      <c r="F2">
        <f t="shared" ref="F2:F65" si="0">E2-D2</f>
        <v>-127829.86420986836</v>
      </c>
      <c r="J2">
        <v>156299.25561227358</v>
      </c>
      <c r="K2">
        <v>-127829.86420986836</v>
      </c>
    </row>
    <row r="3" spans="1:11">
      <c r="A3" t="s">
        <v>47</v>
      </c>
      <c r="B3" t="s">
        <v>15</v>
      </c>
      <c r="C3" t="s">
        <v>28</v>
      </c>
      <c r="D3">
        <v>625514.04</v>
      </c>
      <c r="E3">
        <v>522797.20782839664</v>
      </c>
      <c r="F3">
        <f t="shared" si="0"/>
        <v>-102716.8321716034</v>
      </c>
      <c r="J3">
        <v>134229.15809275187</v>
      </c>
      <c r="K3">
        <v>-102716.8321716034</v>
      </c>
    </row>
    <row r="4" spans="1:11">
      <c r="A4" t="s">
        <v>72</v>
      </c>
      <c r="B4" t="s">
        <v>15</v>
      </c>
      <c r="C4" t="s">
        <v>21</v>
      </c>
      <c r="D4">
        <v>787715.51</v>
      </c>
      <c r="E4">
        <v>687127.02456608065</v>
      </c>
      <c r="F4">
        <f t="shared" si="0"/>
        <v>-100588.48543391936</v>
      </c>
      <c r="J4">
        <v>130216.67574531911</v>
      </c>
      <c r="K4">
        <v>-100588.48543391936</v>
      </c>
    </row>
    <row r="5" spans="1:11">
      <c r="A5" t="s">
        <v>94</v>
      </c>
      <c r="B5" t="s">
        <v>15</v>
      </c>
      <c r="C5" t="s">
        <v>16</v>
      </c>
      <c r="D5">
        <v>813316.71</v>
      </c>
      <c r="E5">
        <v>718839.53258812486</v>
      </c>
      <c r="F5">
        <f t="shared" si="0"/>
        <v>-94477.177411875105</v>
      </c>
      <c r="J5">
        <v>120623.79761074402</v>
      </c>
      <c r="K5">
        <v>-94477.177411875105</v>
      </c>
    </row>
    <row r="6" spans="1:11">
      <c r="A6" t="s">
        <v>85</v>
      </c>
      <c r="B6" t="s">
        <v>24</v>
      </c>
      <c r="C6" t="s">
        <v>21</v>
      </c>
      <c r="D6">
        <v>799046.94</v>
      </c>
      <c r="E6">
        <v>706026.95808458328</v>
      </c>
      <c r="F6">
        <f t="shared" si="0"/>
        <v>-93019.981915416662</v>
      </c>
      <c r="J6">
        <v>110046.32201262633</v>
      </c>
      <c r="K6">
        <v>-93019.981915416662</v>
      </c>
    </row>
    <row r="7" spans="1:11">
      <c r="A7" t="s">
        <v>90</v>
      </c>
      <c r="B7" t="s">
        <v>27</v>
      </c>
      <c r="C7" t="s">
        <v>18</v>
      </c>
      <c r="D7">
        <v>686737.87</v>
      </c>
      <c r="E7">
        <v>601414.47407052002</v>
      </c>
      <c r="F7">
        <f t="shared" si="0"/>
        <v>-85323.395929479972</v>
      </c>
    </row>
    <row r="8" spans="1:11">
      <c r="A8" t="s">
        <v>19</v>
      </c>
      <c r="B8" t="s">
        <v>20</v>
      </c>
      <c r="C8" t="s">
        <v>21</v>
      </c>
      <c r="D8">
        <v>930581.7</v>
      </c>
      <c r="E8">
        <v>846782.55428206129</v>
      </c>
      <c r="F8">
        <f t="shared" si="0"/>
        <v>-83799.145717938663</v>
      </c>
    </row>
    <row r="9" spans="1:11">
      <c r="A9" t="s">
        <v>96</v>
      </c>
      <c r="B9" t="s">
        <v>27</v>
      </c>
      <c r="C9" t="s">
        <v>18</v>
      </c>
      <c r="D9">
        <v>763162.45</v>
      </c>
      <c r="E9">
        <v>679410.17187670129</v>
      </c>
      <c r="F9">
        <f t="shared" si="0"/>
        <v>-83752.27812329866</v>
      </c>
    </row>
    <row r="10" spans="1:11">
      <c r="A10" t="s">
        <v>42</v>
      </c>
      <c r="B10" t="s">
        <v>27</v>
      </c>
      <c r="C10" t="s">
        <v>28</v>
      </c>
      <c r="D10">
        <v>727241.86</v>
      </c>
      <c r="E10">
        <v>645430.65455944859</v>
      </c>
      <c r="F10">
        <f t="shared" si="0"/>
        <v>-81811.205440551392</v>
      </c>
    </row>
    <row r="11" spans="1:11">
      <c r="A11" t="s">
        <v>32</v>
      </c>
      <c r="B11" t="s">
        <v>15</v>
      </c>
      <c r="C11" t="s">
        <v>28</v>
      </c>
      <c r="D11">
        <v>657429.18000000005</v>
      </c>
      <c r="E11">
        <v>575717.55030637502</v>
      </c>
      <c r="F11">
        <f t="shared" si="0"/>
        <v>-81711.629693625029</v>
      </c>
    </row>
    <row r="12" spans="1:11">
      <c r="A12" t="s">
        <v>39</v>
      </c>
      <c r="B12" t="s">
        <v>15</v>
      </c>
      <c r="C12" t="s">
        <v>18</v>
      </c>
      <c r="D12">
        <v>661927.14</v>
      </c>
      <c r="E12">
        <v>581445.21269727219</v>
      </c>
      <c r="F12">
        <f t="shared" si="0"/>
        <v>-80481.927302727825</v>
      </c>
    </row>
    <row r="13" spans="1:11">
      <c r="A13" t="s">
        <v>86</v>
      </c>
      <c r="B13" t="s">
        <v>24</v>
      </c>
      <c r="C13" t="s">
        <v>28</v>
      </c>
      <c r="D13">
        <v>840108.12</v>
      </c>
      <c r="E13">
        <v>759764.79752728005</v>
      </c>
      <c r="F13">
        <f t="shared" si="0"/>
        <v>-80343.322472719941</v>
      </c>
    </row>
    <row r="14" spans="1:11">
      <c r="A14" t="s">
        <v>48</v>
      </c>
      <c r="B14" t="s">
        <v>27</v>
      </c>
      <c r="C14" t="s">
        <v>18</v>
      </c>
      <c r="D14">
        <v>795153.84</v>
      </c>
      <c r="E14">
        <v>717649.37470718054</v>
      </c>
      <c r="F14">
        <f t="shared" si="0"/>
        <v>-77504.465292819426</v>
      </c>
    </row>
    <row r="15" spans="1:11">
      <c r="A15" t="s">
        <v>17</v>
      </c>
      <c r="B15" t="s">
        <v>15</v>
      </c>
      <c r="C15" t="s">
        <v>18</v>
      </c>
      <c r="D15">
        <v>850164.26</v>
      </c>
      <c r="E15">
        <v>773018.24915131356</v>
      </c>
      <c r="F15">
        <f t="shared" si="0"/>
        <v>-77146.010848686448</v>
      </c>
    </row>
    <row r="16" spans="1:11">
      <c r="A16" t="s">
        <v>53</v>
      </c>
      <c r="B16" t="s">
        <v>24</v>
      </c>
      <c r="C16" t="s">
        <v>18</v>
      </c>
      <c r="D16">
        <v>914544.17</v>
      </c>
      <c r="E16">
        <v>837476.06270370493</v>
      </c>
      <c r="F16">
        <f t="shared" si="0"/>
        <v>-77068.107296295115</v>
      </c>
    </row>
    <row r="17" spans="1:6">
      <c r="A17" t="s">
        <v>61</v>
      </c>
      <c r="B17" t="s">
        <v>20</v>
      </c>
      <c r="C17" t="s">
        <v>28</v>
      </c>
      <c r="D17">
        <v>724216.07</v>
      </c>
      <c r="E17">
        <v>648151.22515185818</v>
      </c>
      <c r="F17">
        <f t="shared" si="0"/>
        <v>-76064.844848141773</v>
      </c>
    </row>
    <row r="18" spans="1:6">
      <c r="A18" t="s">
        <v>40</v>
      </c>
      <c r="B18" t="s">
        <v>15</v>
      </c>
      <c r="C18" t="s">
        <v>16</v>
      </c>
      <c r="D18">
        <v>788087.68</v>
      </c>
      <c r="E18">
        <v>712765.18310555734</v>
      </c>
      <c r="F18">
        <f t="shared" si="0"/>
        <v>-75322.496894442709</v>
      </c>
    </row>
    <row r="19" spans="1:6">
      <c r="A19" t="s">
        <v>66</v>
      </c>
      <c r="B19" t="s">
        <v>27</v>
      </c>
      <c r="C19" t="s">
        <v>21</v>
      </c>
      <c r="D19">
        <v>783582</v>
      </c>
      <c r="E19">
        <v>709178.88153499435</v>
      </c>
      <c r="F19">
        <f t="shared" si="0"/>
        <v>-74403.118465005653</v>
      </c>
    </row>
    <row r="20" spans="1:6">
      <c r="A20" t="s">
        <v>46</v>
      </c>
      <c r="B20" t="s">
        <v>27</v>
      </c>
      <c r="C20" t="s">
        <v>28</v>
      </c>
      <c r="D20">
        <v>735509.4</v>
      </c>
      <c r="E20">
        <v>662910.22244958067</v>
      </c>
      <c r="F20">
        <f t="shared" si="0"/>
        <v>-72599.17755041935</v>
      </c>
    </row>
    <row r="21" spans="1:6">
      <c r="A21" t="s">
        <v>51</v>
      </c>
      <c r="B21" t="s">
        <v>27</v>
      </c>
      <c r="C21" t="s">
        <v>16</v>
      </c>
      <c r="D21">
        <v>820519.04</v>
      </c>
      <c r="E21">
        <v>748192.98140111368</v>
      </c>
      <c r="F21">
        <f t="shared" si="0"/>
        <v>-72326.05859888636</v>
      </c>
    </row>
    <row r="22" spans="1:6">
      <c r="A22" t="s">
        <v>62</v>
      </c>
      <c r="B22" t="s">
        <v>24</v>
      </c>
      <c r="C22" t="s">
        <v>18</v>
      </c>
      <c r="D22">
        <v>778298.88</v>
      </c>
      <c r="E22">
        <v>707797.57120881754</v>
      </c>
      <c r="F22">
        <f t="shared" si="0"/>
        <v>-70501.30879118247</v>
      </c>
    </row>
    <row r="23" spans="1:6">
      <c r="A23" t="s">
        <v>71</v>
      </c>
      <c r="B23" t="s">
        <v>20</v>
      </c>
      <c r="C23" t="s">
        <v>16</v>
      </c>
      <c r="D23">
        <v>735786.64</v>
      </c>
      <c r="E23">
        <v>665637.82898846676</v>
      </c>
      <c r="F23">
        <f t="shared" si="0"/>
        <v>-70148.811011533253</v>
      </c>
    </row>
    <row r="24" spans="1:6">
      <c r="A24" t="s">
        <v>19</v>
      </c>
      <c r="B24" t="s">
        <v>20</v>
      </c>
      <c r="C24" t="s">
        <v>21</v>
      </c>
      <c r="D24">
        <v>910791.94</v>
      </c>
      <c r="E24">
        <v>841146.82924857491</v>
      </c>
      <c r="F24">
        <f t="shared" si="0"/>
        <v>-69645.110751425033</v>
      </c>
    </row>
    <row r="25" spans="1:6">
      <c r="A25" t="s">
        <v>73</v>
      </c>
      <c r="B25" t="s">
        <v>15</v>
      </c>
      <c r="C25" t="s">
        <v>28</v>
      </c>
      <c r="D25">
        <v>795464.47</v>
      </c>
      <c r="E25">
        <v>726317.38256538718</v>
      </c>
      <c r="F25">
        <f t="shared" si="0"/>
        <v>-69147.087434612797</v>
      </c>
    </row>
    <row r="26" spans="1:6">
      <c r="A26" t="s">
        <v>80</v>
      </c>
      <c r="B26" t="s">
        <v>27</v>
      </c>
      <c r="C26" t="s">
        <v>16</v>
      </c>
      <c r="D26">
        <v>723305.11</v>
      </c>
      <c r="E26">
        <v>654563.53499249707</v>
      </c>
      <c r="F26">
        <f t="shared" si="0"/>
        <v>-68741.575007502921</v>
      </c>
    </row>
    <row r="27" spans="1:6">
      <c r="A27" t="s">
        <v>61</v>
      </c>
      <c r="B27" t="s">
        <v>20</v>
      </c>
      <c r="C27" t="s">
        <v>28</v>
      </c>
      <c r="D27">
        <v>620973.03</v>
      </c>
      <c r="E27">
        <v>553184.37577623827</v>
      </c>
      <c r="F27">
        <f t="shared" si="0"/>
        <v>-67788.654223761754</v>
      </c>
    </row>
    <row r="28" spans="1:6">
      <c r="A28" t="s">
        <v>66</v>
      </c>
      <c r="B28" t="s">
        <v>27</v>
      </c>
      <c r="C28" t="s">
        <v>21</v>
      </c>
      <c r="D28">
        <v>898031.04</v>
      </c>
      <c r="E28">
        <v>831706.08248581656</v>
      </c>
      <c r="F28">
        <f t="shared" si="0"/>
        <v>-66324.957514183479</v>
      </c>
    </row>
    <row r="29" spans="1:6">
      <c r="A29" t="s">
        <v>68</v>
      </c>
      <c r="B29" t="s">
        <v>20</v>
      </c>
      <c r="C29" t="s">
        <v>18</v>
      </c>
      <c r="D29">
        <v>765906.95</v>
      </c>
      <c r="E29">
        <v>702022.68698843417</v>
      </c>
      <c r="F29">
        <f t="shared" si="0"/>
        <v>-63884.263011565781</v>
      </c>
    </row>
    <row r="30" spans="1:6">
      <c r="A30" t="s">
        <v>87</v>
      </c>
      <c r="B30" t="s">
        <v>27</v>
      </c>
      <c r="C30" t="s">
        <v>18</v>
      </c>
      <c r="D30">
        <v>677640.65</v>
      </c>
      <c r="E30">
        <v>614388.61177761678</v>
      </c>
      <c r="F30">
        <f t="shared" si="0"/>
        <v>-63252.038222383242</v>
      </c>
    </row>
    <row r="31" spans="1:6">
      <c r="A31" t="s">
        <v>89</v>
      </c>
      <c r="B31" t="s">
        <v>15</v>
      </c>
      <c r="C31" t="s">
        <v>28</v>
      </c>
      <c r="D31">
        <v>739374.56</v>
      </c>
      <c r="E31">
        <v>677717.62760137883</v>
      </c>
      <c r="F31">
        <f t="shared" si="0"/>
        <v>-61656.932398621226</v>
      </c>
    </row>
    <row r="32" spans="1:6">
      <c r="A32" t="s">
        <v>97</v>
      </c>
      <c r="B32" t="s">
        <v>20</v>
      </c>
      <c r="C32" t="s">
        <v>28</v>
      </c>
      <c r="D32">
        <v>780580.95</v>
      </c>
      <c r="E32">
        <v>720973.69494820607</v>
      </c>
      <c r="F32">
        <f t="shared" si="0"/>
        <v>-59607.25505179388</v>
      </c>
    </row>
    <row r="33" spans="1:6">
      <c r="A33" t="s">
        <v>37</v>
      </c>
      <c r="B33" t="s">
        <v>24</v>
      </c>
      <c r="C33" t="s">
        <v>18</v>
      </c>
      <c r="D33">
        <v>749559.71</v>
      </c>
      <c r="E33">
        <v>690089.72934912052</v>
      </c>
      <c r="F33">
        <f t="shared" si="0"/>
        <v>-59469.980650879443</v>
      </c>
    </row>
    <row r="34" spans="1:6">
      <c r="A34" t="s">
        <v>76</v>
      </c>
      <c r="B34" t="s">
        <v>20</v>
      </c>
      <c r="C34" t="s">
        <v>21</v>
      </c>
      <c r="D34">
        <v>673348.56</v>
      </c>
      <c r="E34">
        <v>614742.8079958841</v>
      </c>
      <c r="F34">
        <f t="shared" si="0"/>
        <v>-58605.752004115959</v>
      </c>
    </row>
    <row r="35" spans="1:6">
      <c r="A35" t="s">
        <v>79</v>
      </c>
      <c r="B35" t="s">
        <v>15</v>
      </c>
      <c r="C35" t="s">
        <v>18</v>
      </c>
      <c r="D35">
        <v>870937.4</v>
      </c>
      <c r="E35">
        <v>815183.85257806606</v>
      </c>
      <c r="F35">
        <f t="shared" si="0"/>
        <v>-55753.547421933967</v>
      </c>
    </row>
    <row r="36" spans="1:6">
      <c r="A36" t="s">
        <v>86</v>
      </c>
      <c r="B36" t="s">
        <v>24</v>
      </c>
      <c r="C36" t="s">
        <v>28</v>
      </c>
      <c r="D36">
        <v>776110.32</v>
      </c>
      <c r="E36">
        <v>721257.30801752035</v>
      </c>
      <c r="F36">
        <f t="shared" si="0"/>
        <v>-54853.011982479598</v>
      </c>
    </row>
    <row r="37" spans="1:6">
      <c r="A37" t="s">
        <v>47</v>
      </c>
      <c r="B37" t="s">
        <v>15</v>
      </c>
      <c r="C37" t="s">
        <v>28</v>
      </c>
      <c r="D37">
        <v>635181.35</v>
      </c>
      <c r="E37">
        <v>580923.23766560981</v>
      </c>
      <c r="F37">
        <f t="shared" si="0"/>
        <v>-54258.112334390171</v>
      </c>
    </row>
    <row r="38" spans="1:6">
      <c r="A38" t="s">
        <v>31</v>
      </c>
      <c r="B38" t="s">
        <v>20</v>
      </c>
      <c r="C38" t="s">
        <v>28</v>
      </c>
      <c r="D38">
        <v>820593.93</v>
      </c>
      <c r="E38">
        <v>766680.22838112118</v>
      </c>
      <c r="F38">
        <f t="shared" si="0"/>
        <v>-53913.701618878869</v>
      </c>
    </row>
    <row r="39" spans="1:6">
      <c r="A39" t="s">
        <v>56</v>
      </c>
      <c r="B39" t="s">
        <v>24</v>
      </c>
      <c r="C39" t="s">
        <v>16</v>
      </c>
      <c r="D39">
        <v>758827.64</v>
      </c>
      <c r="E39">
        <v>705997.43924922391</v>
      </c>
      <c r="F39">
        <f t="shared" si="0"/>
        <v>-52830.200750776101</v>
      </c>
    </row>
    <row r="40" spans="1:6">
      <c r="A40" t="s">
        <v>42</v>
      </c>
      <c r="B40" t="s">
        <v>27</v>
      </c>
      <c r="C40" t="s">
        <v>28</v>
      </c>
      <c r="D40">
        <v>682208.01</v>
      </c>
      <c r="E40">
        <v>631537.70367504086</v>
      </c>
      <c r="F40">
        <f t="shared" si="0"/>
        <v>-50670.306324959151</v>
      </c>
    </row>
    <row r="41" spans="1:6">
      <c r="A41" t="s">
        <v>39</v>
      </c>
      <c r="B41" t="s">
        <v>15</v>
      </c>
      <c r="C41" t="s">
        <v>18</v>
      </c>
      <c r="D41">
        <v>674774.09</v>
      </c>
      <c r="E41">
        <v>626219.05157924606</v>
      </c>
      <c r="F41">
        <f t="shared" si="0"/>
        <v>-48555.038420753903</v>
      </c>
    </row>
    <row r="42" spans="1:6">
      <c r="A42" t="s">
        <v>88</v>
      </c>
      <c r="B42" t="s">
        <v>15</v>
      </c>
      <c r="C42" t="s">
        <v>18</v>
      </c>
      <c r="D42">
        <v>762328.31</v>
      </c>
      <c r="E42">
        <v>715204.51586095104</v>
      </c>
      <c r="F42">
        <f t="shared" si="0"/>
        <v>-47123.794139049016</v>
      </c>
    </row>
    <row r="43" spans="1:6">
      <c r="A43" t="s">
        <v>50</v>
      </c>
      <c r="B43" t="s">
        <v>27</v>
      </c>
      <c r="C43" t="s">
        <v>28</v>
      </c>
      <c r="D43">
        <v>778397.97</v>
      </c>
      <c r="E43">
        <v>731293.24348409101</v>
      </c>
      <c r="F43">
        <f t="shared" si="0"/>
        <v>-47104.726515908958</v>
      </c>
    </row>
    <row r="44" spans="1:6">
      <c r="A44" t="s">
        <v>78</v>
      </c>
      <c r="B44" t="s">
        <v>15</v>
      </c>
      <c r="C44" t="s">
        <v>28</v>
      </c>
      <c r="D44">
        <v>641564.6</v>
      </c>
      <c r="E44">
        <v>594669.55089888105</v>
      </c>
      <c r="F44">
        <f t="shared" si="0"/>
        <v>-46895.04910111893</v>
      </c>
    </row>
    <row r="45" spans="1:6">
      <c r="A45" t="s">
        <v>45</v>
      </c>
      <c r="B45" t="s">
        <v>27</v>
      </c>
      <c r="C45" t="s">
        <v>16</v>
      </c>
      <c r="D45">
        <v>838250.32</v>
      </c>
      <c r="E45">
        <v>791456.58592196694</v>
      </c>
      <c r="F45">
        <f t="shared" si="0"/>
        <v>-46793.734078033012</v>
      </c>
    </row>
    <row r="46" spans="1:6">
      <c r="A46" t="s">
        <v>49</v>
      </c>
      <c r="B46" t="s">
        <v>15</v>
      </c>
      <c r="C46" t="s">
        <v>28</v>
      </c>
      <c r="D46">
        <v>709478.39</v>
      </c>
      <c r="E46">
        <v>663437.97572485765</v>
      </c>
      <c r="F46">
        <f t="shared" si="0"/>
        <v>-46040.414275142364</v>
      </c>
    </row>
    <row r="47" spans="1:6">
      <c r="A47" t="s">
        <v>63</v>
      </c>
      <c r="B47" t="s">
        <v>20</v>
      </c>
      <c r="C47" t="s">
        <v>28</v>
      </c>
      <c r="D47">
        <v>825797.91</v>
      </c>
      <c r="E47">
        <v>779937.44547647925</v>
      </c>
      <c r="F47">
        <f t="shared" si="0"/>
        <v>-45860.464523520786</v>
      </c>
    </row>
    <row r="48" spans="1:6">
      <c r="A48" t="s">
        <v>41</v>
      </c>
      <c r="B48" t="s">
        <v>24</v>
      </c>
      <c r="C48" t="s">
        <v>18</v>
      </c>
      <c r="D48">
        <v>776922.17</v>
      </c>
      <c r="E48">
        <v>731090.82596084662</v>
      </c>
      <c r="F48">
        <f t="shared" si="0"/>
        <v>-45831.344039153424</v>
      </c>
    </row>
    <row r="49" spans="1:6">
      <c r="A49" t="s">
        <v>50</v>
      </c>
      <c r="B49" t="s">
        <v>27</v>
      </c>
      <c r="C49" t="s">
        <v>28</v>
      </c>
      <c r="D49">
        <v>873380.02</v>
      </c>
      <c r="E49">
        <v>827692.54346529371</v>
      </c>
      <c r="F49">
        <f t="shared" si="0"/>
        <v>-45687.476534706308</v>
      </c>
    </row>
    <row r="50" spans="1:6">
      <c r="A50" t="s">
        <v>69</v>
      </c>
      <c r="B50" t="s">
        <v>15</v>
      </c>
      <c r="C50" t="s">
        <v>18</v>
      </c>
      <c r="D50">
        <v>625993.82999999996</v>
      </c>
      <c r="E50">
        <v>580870.96348123439</v>
      </c>
      <c r="F50">
        <f t="shared" si="0"/>
        <v>-45122.866518765572</v>
      </c>
    </row>
    <row r="51" spans="1:6">
      <c r="A51" t="s">
        <v>37</v>
      </c>
      <c r="B51" t="s">
        <v>24</v>
      </c>
      <c r="C51" t="s">
        <v>18</v>
      </c>
      <c r="D51">
        <v>615966.48</v>
      </c>
      <c r="E51">
        <v>572859.12117905216</v>
      </c>
      <c r="F51">
        <f t="shared" si="0"/>
        <v>-43107.358820947818</v>
      </c>
    </row>
    <row r="52" spans="1:6">
      <c r="A52" t="s">
        <v>76</v>
      </c>
      <c r="B52" t="s">
        <v>20</v>
      </c>
      <c r="C52" t="s">
        <v>21</v>
      </c>
      <c r="D52">
        <v>674289.1</v>
      </c>
      <c r="E52">
        <v>631817.57115612295</v>
      </c>
      <c r="F52">
        <f t="shared" si="0"/>
        <v>-42471.528843877022</v>
      </c>
    </row>
    <row r="53" spans="1:6">
      <c r="A53" t="s">
        <v>57</v>
      </c>
      <c r="B53" t="s">
        <v>27</v>
      </c>
      <c r="C53" t="s">
        <v>18</v>
      </c>
      <c r="D53">
        <v>682639.28</v>
      </c>
      <c r="E53">
        <v>640169.24549265963</v>
      </c>
      <c r="F53">
        <f t="shared" si="0"/>
        <v>-42470.034507340402</v>
      </c>
    </row>
    <row r="54" spans="1:6">
      <c r="A54" t="s">
        <v>37</v>
      </c>
      <c r="B54" t="s">
        <v>24</v>
      </c>
      <c r="C54" t="s">
        <v>18</v>
      </c>
      <c r="D54">
        <v>761860.19</v>
      </c>
      <c r="E54">
        <v>719605.63186679059</v>
      </c>
      <c r="F54">
        <f t="shared" si="0"/>
        <v>-42254.558133209357</v>
      </c>
    </row>
    <row r="55" spans="1:6">
      <c r="A55" t="s">
        <v>45</v>
      </c>
      <c r="B55" t="s">
        <v>27</v>
      </c>
      <c r="C55" t="s">
        <v>16</v>
      </c>
      <c r="D55">
        <v>753473.55</v>
      </c>
      <c r="E55">
        <v>711228.65124588681</v>
      </c>
      <c r="F55">
        <f t="shared" si="0"/>
        <v>-42244.898754113237</v>
      </c>
    </row>
    <row r="56" spans="1:6">
      <c r="A56" t="s">
        <v>71</v>
      </c>
      <c r="B56" t="s">
        <v>20</v>
      </c>
      <c r="C56" t="s">
        <v>16</v>
      </c>
      <c r="D56">
        <v>691447.43</v>
      </c>
      <c r="E56">
        <v>649883.02431909519</v>
      </c>
      <c r="F56">
        <f t="shared" si="0"/>
        <v>-41564.405680904863</v>
      </c>
    </row>
    <row r="57" spans="1:6">
      <c r="A57" t="s">
        <v>85</v>
      </c>
      <c r="B57" t="s">
        <v>24</v>
      </c>
      <c r="C57" t="s">
        <v>21</v>
      </c>
      <c r="D57">
        <v>720079.54</v>
      </c>
      <c r="E57">
        <v>678750.9585549403</v>
      </c>
      <c r="F57">
        <f t="shared" si="0"/>
        <v>-41328.581445059739</v>
      </c>
    </row>
    <row r="58" spans="1:6">
      <c r="A58" t="s">
        <v>41</v>
      </c>
      <c r="B58" t="s">
        <v>24</v>
      </c>
      <c r="C58" t="s">
        <v>18</v>
      </c>
      <c r="D58">
        <v>691112.6</v>
      </c>
      <c r="E58">
        <v>650030.97583290038</v>
      </c>
      <c r="F58">
        <f t="shared" si="0"/>
        <v>-41081.624167099595</v>
      </c>
    </row>
    <row r="59" spans="1:6">
      <c r="A59" t="s">
        <v>90</v>
      </c>
      <c r="B59" t="s">
        <v>27</v>
      </c>
      <c r="C59" t="s">
        <v>18</v>
      </c>
      <c r="D59">
        <v>561597.32999999996</v>
      </c>
      <c r="E59">
        <v>520660.95048491633</v>
      </c>
      <c r="F59">
        <f t="shared" si="0"/>
        <v>-40936.379515083623</v>
      </c>
    </row>
    <row r="60" spans="1:6">
      <c r="A60" t="s">
        <v>52</v>
      </c>
      <c r="B60" t="s">
        <v>20</v>
      </c>
      <c r="C60" t="s">
        <v>18</v>
      </c>
      <c r="D60">
        <v>654317.09</v>
      </c>
      <c r="E60">
        <v>613885.98005283799</v>
      </c>
      <c r="F60">
        <f t="shared" si="0"/>
        <v>-40431.109947161982</v>
      </c>
    </row>
    <row r="61" spans="1:6">
      <c r="A61" t="s">
        <v>34</v>
      </c>
      <c r="B61" t="s">
        <v>20</v>
      </c>
      <c r="C61" t="s">
        <v>28</v>
      </c>
      <c r="D61">
        <v>773815.14</v>
      </c>
      <c r="E61">
        <v>733678.08051843627</v>
      </c>
      <c r="F61">
        <f t="shared" si="0"/>
        <v>-40137.059481563745</v>
      </c>
    </row>
    <row r="62" spans="1:6">
      <c r="A62" t="s">
        <v>48</v>
      </c>
      <c r="B62" t="s">
        <v>27</v>
      </c>
      <c r="C62" t="s">
        <v>18</v>
      </c>
      <c r="D62">
        <v>727227.2</v>
      </c>
      <c r="E62">
        <v>687800.70705490035</v>
      </c>
      <c r="F62">
        <f t="shared" si="0"/>
        <v>-39426.492945099599</v>
      </c>
    </row>
    <row r="63" spans="1:6">
      <c r="A63" t="s">
        <v>66</v>
      </c>
      <c r="B63" t="s">
        <v>27</v>
      </c>
      <c r="C63" t="s">
        <v>21</v>
      </c>
      <c r="D63">
        <v>781955.52</v>
      </c>
      <c r="E63">
        <v>743383.80632286391</v>
      </c>
      <c r="F63">
        <f t="shared" si="0"/>
        <v>-38571.713677136111</v>
      </c>
    </row>
    <row r="64" spans="1:6">
      <c r="A64" t="s">
        <v>22</v>
      </c>
      <c r="B64" t="s">
        <v>15</v>
      </c>
      <c r="C64" t="s">
        <v>16</v>
      </c>
      <c r="D64">
        <v>922168.6</v>
      </c>
      <c r="E64">
        <v>883629.93888515583</v>
      </c>
      <c r="F64">
        <f t="shared" si="0"/>
        <v>-38538.661114844144</v>
      </c>
    </row>
    <row r="65" spans="1:6">
      <c r="A65" t="s">
        <v>47</v>
      </c>
      <c r="B65" t="s">
        <v>15</v>
      </c>
      <c r="C65" t="s">
        <v>28</v>
      </c>
      <c r="D65">
        <v>740102.64</v>
      </c>
      <c r="E65">
        <v>702351.28985989443</v>
      </c>
      <c r="F65">
        <f t="shared" si="0"/>
        <v>-37751.350140105584</v>
      </c>
    </row>
    <row r="66" spans="1:6">
      <c r="A66" t="s">
        <v>53</v>
      </c>
      <c r="B66" t="s">
        <v>24</v>
      </c>
      <c r="C66" t="s">
        <v>18</v>
      </c>
      <c r="D66">
        <v>842157.92</v>
      </c>
      <c r="E66">
        <v>804892.78448465047</v>
      </c>
      <c r="F66">
        <f t="shared" ref="F66:F129" si="1">E66-D66</f>
        <v>-37265.135515349568</v>
      </c>
    </row>
    <row r="67" spans="1:6">
      <c r="A67" t="s">
        <v>82</v>
      </c>
      <c r="B67" t="s">
        <v>24</v>
      </c>
      <c r="C67" t="s">
        <v>21</v>
      </c>
      <c r="D67">
        <v>776992.93</v>
      </c>
      <c r="E67">
        <v>739804.29439335514</v>
      </c>
      <c r="F67">
        <f t="shared" si="1"/>
        <v>-37188.635606644908</v>
      </c>
    </row>
    <row r="68" spans="1:6">
      <c r="A68" t="s">
        <v>78</v>
      </c>
      <c r="B68" t="s">
        <v>15</v>
      </c>
      <c r="C68" t="s">
        <v>28</v>
      </c>
      <c r="D68">
        <v>529598.93999999994</v>
      </c>
      <c r="E68">
        <v>492457.96187618515</v>
      </c>
      <c r="F68">
        <f t="shared" si="1"/>
        <v>-37140.978123814799</v>
      </c>
    </row>
    <row r="69" spans="1:6">
      <c r="A69" t="s">
        <v>35</v>
      </c>
      <c r="B69" t="s">
        <v>27</v>
      </c>
      <c r="C69" t="s">
        <v>18</v>
      </c>
      <c r="D69">
        <v>720852.5</v>
      </c>
      <c r="E69">
        <v>684531.965003488</v>
      </c>
      <c r="F69">
        <f t="shared" si="1"/>
        <v>-36320.534996511997</v>
      </c>
    </row>
    <row r="70" spans="1:6">
      <c r="A70" t="s">
        <v>57</v>
      </c>
      <c r="B70" t="s">
        <v>27</v>
      </c>
      <c r="C70" t="s">
        <v>18</v>
      </c>
      <c r="D70">
        <v>715890.53</v>
      </c>
      <c r="E70">
        <v>679810.11689173663</v>
      </c>
      <c r="F70">
        <f t="shared" si="1"/>
        <v>-36080.413108263398</v>
      </c>
    </row>
    <row r="71" spans="1:6">
      <c r="A71" t="s">
        <v>80</v>
      </c>
      <c r="B71" t="s">
        <v>27</v>
      </c>
      <c r="C71" t="s">
        <v>16</v>
      </c>
      <c r="D71">
        <v>658072.14</v>
      </c>
      <c r="E71">
        <v>622235.35388404189</v>
      </c>
      <c r="F71">
        <f t="shared" si="1"/>
        <v>-35836.786115958123</v>
      </c>
    </row>
    <row r="72" spans="1:6">
      <c r="A72" t="s">
        <v>88</v>
      </c>
      <c r="B72" t="s">
        <v>15</v>
      </c>
      <c r="C72" t="s">
        <v>18</v>
      </c>
      <c r="D72">
        <v>767792.94</v>
      </c>
      <c r="E72">
        <v>732285.39238769712</v>
      </c>
      <c r="F72">
        <f t="shared" si="1"/>
        <v>-35507.54761230282</v>
      </c>
    </row>
    <row r="73" spans="1:6">
      <c r="A73" t="s">
        <v>44</v>
      </c>
      <c r="B73" t="s">
        <v>24</v>
      </c>
      <c r="C73" t="s">
        <v>28</v>
      </c>
      <c r="D73">
        <v>711213.46</v>
      </c>
      <c r="E73">
        <v>676218.73346008547</v>
      </c>
      <c r="F73">
        <f t="shared" si="1"/>
        <v>-34994.726539914496</v>
      </c>
    </row>
    <row r="74" spans="1:6">
      <c r="A74" t="s">
        <v>79</v>
      </c>
      <c r="B74" t="s">
        <v>15</v>
      </c>
      <c r="C74" t="s">
        <v>18</v>
      </c>
      <c r="D74">
        <v>647512.85</v>
      </c>
      <c r="E74">
        <v>613652.10529464821</v>
      </c>
      <c r="F74">
        <f t="shared" si="1"/>
        <v>-33860.744705351768</v>
      </c>
    </row>
    <row r="75" spans="1:6">
      <c r="A75" t="s">
        <v>59</v>
      </c>
      <c r="B75" t="s">
        <v>24</v>
      </c>
      <c r="C75" t="s">
        <v>28</v>
      </c>
      <c r="D75">
        <v>696744.15</v>
      </c>
      <c r="E75">
        <v>663209.29846482479</v>
      </c>
      <c r="F75">
        <f t="shared" si="1"/>
        <v>-33534.851535175228</v>
      </c>
    </row>
    <row r="76" spans="1:6">
      <c r="A76" t="s">
        <v>98</v>
      </c>
      <c r="B76" t="s">
        <v>24</v>
      </c>
      <c r="C76" t="s">
        <v>16</v>
      </c>
      <c r="D76">
        <v>665342.49</v>
      </c>
      <c r="E76">
        <v>632758.47466211976</v>
      </c>
      <c r="F76">
        <f t="shared" si="1"/>
        <v>-32584.015337880235</v>
      </c>
    </row>
    <row r="77" spans="1:6">
      <c r="A77" t="s">
        <v>82</v>
      </c>
      <c r="B77" t="s">
        <v>24</v>
      </c>
      <c r="C77" t="s">
        <v>21</v>
      </c>
      <c r="D77">
        <v>676337.41</v>
      </c>
      <c r="E77">
        <v>644752.09365512163</v>
      </c>
      <c r="F77">
        <f t="shared" si="1"/>
        <v>-31585.316344878403</v>
      </c>
    </row>
    <row r="78" spans="1:6">
      <c r="A78" t="s">
        <v>88</v>
      </c>
      <c r="B78" t="s">
        <v>15</v>
      </c>
      <c r="C78" t="s">
        <v>18</v>
      </c>
      <c r="D78">
        <v>745580.51</v>
      </c>
      <c r="E78">
        <v>715535.89763953874</v>
      </c>
      <c r="F78">
        <f t="shared" si="1"/>
        <v>-30044.612360461266</v>
      </c>
    </row>
    <row r="79" spans="1:6">
      <c r="A79" t="s">
        <v>33</v>
      </c>
      <c r="B79" t="s">
        <v>27</v>
      </c>
      <c r="C79" t="s">
        <v>16</v>
      </c>
      <c r="D79">
        <v>614800.09</v>
      </c>
      <c r="E79">
        <v>585141.91902498237</v>
      </c>
      <c r="F79">
        <f t="shared" si="1"/>
        <v>-29658.170975017594</v>
      </c>
    </row>
    <row r="80" spans="1:6">
      <c r="A80" t="s">
        <v>44</v>
      </c>
      <c r="B80" t="s">
        <v>24</v>
      </c>
      <c r="C80" t="s">
        <v>28</v>
      </c>
      <c r="D80">
        <v>586307.22</v>
      </c>
      <c r="E80">
        <v>558154.67209478375</v>
      </c>
      <c r="F80">
        <f t="shared" si="1"/>
        <v>-28152.547905216226</v>
      </c>
    </row>
    <row r="81" spans="1:6">
      <c r="A81" t="s">
        <v>75</v>
      </c>
      <c r="B81" t="s">
        <v>27</v>
      </c>
      <c r="C81" t="s">
        <v>16</v>
      </c>
      <c r="D81">
        <v>804975.5</v>
      </c>
      <c r="E81">
        <v>777151.55692632322</v>
      </c>
      <c r="F81">
        <f t="shared" si="1"/>
        <v>-27823.943073676783</v>
      </c>
    </row>
    <row r="82" spans="1:6">
      <c r="A82" t="s">
        <v>83</v>
      </c>
      <c r="B82" t="s">
        <v>15</v>
      </c>
      <c r="C82" t="s">
        <v>18</v>
      </c>
      <c r="D82">
        <v>802001.68</v>
      </c>
      <c r="E82">
        <v>775066.40566188726</v>
      </c>
      <c r="F82">
        <f t="shared" si="1"/>
        <v>-26935.274338112795</v>
      </c>
    </row>
    <row r="83" spans="1:6">
      <c r="A83" t="s">
        <v>66</v>
      </c>
      <c r="B83" t="s">
        <v>27</v>
      </c>
      <c r="C83" t="s">
        <v>21</v>
      </c>
      <c r="D83">
        <v>887537.75</v>
      </c>
      <c r="E83">
        <v>861157.59060867783</v>
      </c>
      <c r="F83">
        <f t="shared" si="1"/>
        <v>-26380.159391322173</v>
      </c>
    </row>
    <row r="84" spans="1:6">
      <c r="A84" t="s">
        <v>64</v>
      </c>
      <c r="B84" t="s">
        <v>15</v>
      </c>
      <c r="C84" t="s">
        <v>16</v>
      </c>
      <c r="D84">
        <v>769702.76</v>
      </c>
      <c r="E84">
        <v>744732.30673304014</v>
      </c>
      <c r="F84">
        <f t="shared" si="1"/>
        <v>-24970.45326695987</v>
      </c>
    </row>
    <row r="85" spans="1:6">
      <c r="A85" t="s">
        <v>94</v>
      </c>
      <c r="B85" t="s">
        <v>15</v>
      </c>
      <c r="C85" t="s">
        <v>16</v>
      </c>
      <c r="D85">
        <v>729424.42</v>
      </c>
      <c r="E85">
        <v>704704.5853901162</v>
      </c>
      <c r="F85">
        <f t="shared" si="1"/>
        <v>-24719.834609883837</v>
      </c>
    </row>
    <row r="86" spans="1:6">
      <c r="A86" t="s">
        <v>54</v>
      </c>
      <c r="B86" t="s">
        <v>15</v>
      </c>
      <c r="C86" t="s">
        <v>18</v>
      </c>
      <c r="D86">
        <v>849018.3</v>
      </c>
      <c r="E86">
        <v>824877.38839442923</v>
      </c>
      <c r="F86">
        <f t="shared" si="1"/>
        <v>-24140.911605570815</v>
      </c>
    </row>
    <row r="87" spans="1:6">
      <c r="A87" t="s">
        <v>100</v>
      </c>
      <c r="B87" t="s">
        <v>20</v>
      </c>
      <c r="C87" t="s">
        <v>16</v>
      </c>
      <c r="D87">
        <v>702052.47</v>
      </c>
      <c r="E87">
        <v>678360.08344066748</v>
      </c>
      <c r="F87">
        <f t="shared" si="1"/>
        <v>-23692.386559332488</v>
      </c>
    </row>
    <row r="88" spans="1:6">
      <c r="A88" t="s">
        <v>75</v>
      </c>
      <c r="B88" t="s">
        <v>27</v>
      </c>
      <c r="C88" t="s">
        <v>16</v>
      </c>
      <c r="D88">
        <v>812152.6</v>
      </c>
      <c r="E88">
        <v>788564.063720915</v>
      </c>
      <c r="F88">
        <f t="shared" si="1"/>
        <v>-23588.536279084976</v>
      </c>
    </row>
    <row r="89" spans="1:6">
      <c r="A89" t="s">
        <v>78</v>
      </c>
      <c r="B89" t="s">
        <v>15</v>
      </c>
      <c r="C89" t="s">
        <v>28</v>
      </c>
      <c r="D89">
        <v>536545.49</v>
      </c>
      <c r="E89">
        <v>513337.57755176845</v>
      </c>
      <c r="F89">
        <f t="shared" si="1"/>
        <v>-23207.912448231538</v>
      </c>
    </row>
    <row r="90" spans="1:6">
      <c r="A90" t="s">
        <v>32</v>
      </c>
      <c r="B90" t="s">
        <v>15</v>
      </c>
      <c r="C90" t="s">
        <v>28</v>
      </c>
      <c r="D90">
        <v>605178</v>
      </c>
      <c r="E90">
        <v>582509.67052416469</v>
      </c>
      <c r="F90">
        <f t="shared" si="1"/>
        <v>-22668.329475835315</v>
      </c>
    </row>
    <row r="91" spans="1:6">
      <c r="A91" t="s">
        <v>39</v>
      </c>
      <c r="B91" t="s">
        <v>15</v>
      </c>
      <c r="C91" t="s">
        <v>18</v>
      </c>
      <c r="D91">
        <v>605023.87</v>
      </c>
      <c r="E91">
        <v>583374.99449415435</v>
      </c>
      <c r="F91">
        <f t="shared" si="1"/>
        <v>-21648.875505845645</v>
      </c>
    </row>
    <row r="92" spans="1:6">
      <c r="A92" t="s">
        <v>49</v>
      </c>
      <c r="B92" t="s">
        <v>15</v>
      </c>
      <c r="C92" t="s">
        <v>28</v>
      </c>
      <c r="D92">
        <v>664162.49</v>
      </c>
      <c r="E92">
        <v>642697.54744018929</v>
      </c>
      <c r="F92">
        <f t="shared" si="1"/>
        <v>-21464.942559810705</v>
      </c>
    </row>
    <row r="93" spans="1:6">
      <c r="A93" t="s">
        <v>34</v>
      </c>
      <c r="B93" t="s">
        <v>20</v>
      </c>
      <c r="C93" t="s">
        <v>28</v>
      </c>
      <c r="D93">
        <v>625672.86</v>
      </c>
      <c r="E93">
        <v>604419.83948478161</v>
      </c>
      <c r="F93">
        <f t="shared" si="1"/>
        <v>-21253.020515218377</v>
      </c>
    </row>
    <row r="94" spans="1:6">
      <c r="A94" t="s">
        <v>36</v>
      </c>
      <c r="B94" t="s">
        <v>15</v>
      </c>
      <c r="C94" t="s">
        <v>21</v>
      </c>
      <c r="D94">
        <v>518049.26</v>
      </c>
      <c r="E94">
        <v>497319.24637598253</v>
      </c>
      <c r="F94">
        <f t="shared" si="1"/>
        <v>-20730.013624017476</v>
      </c>
    </row>
    <row r="95" spans="1:6">
      <c r="A95" t="s">
        <v>35</v>
      </c>
      <c r="B95" t="s">
        <v>27</v>
      </c>
      <c r="C95" t="s">
        <v>18</v>
      </c>
      <c r="D95">
        <v>746677.75</v>
      </c>
      <c r="E95">
        <v>726027.5099464677</v>
      </c>
      <c r="F95">
        <f t="shared" si="1"/>
        <v>-20650.240053532296</v>
      </c>
    </row>
    <row r="96" spans="1:6">
      <c r="A96" t="s">
        <v>32</v>
      </c>
      <c r="B96" t="s">
        <v>15</v>
      </c>
      <c r="C96" t="s">
        <v>28</v>
      </c>
      <c r="D96">
        <v>532644.46</v>
      </c>
      <c r="E96">
        <v>512263.1353081289</v>
      </c>
      <c r="F96">
        <f t="shared" si="1"/>
        <v>-20381.324691871065</v>
      </c>
    </row>
    <row r="97" spans="1:6">
      <c r="A97" t="s">
        <v>22</v>
      </c>
      <c r="B97" t="s">
        <v>15</v>
      </c>
      <c r="C97" t="s">
        <v>16</v>
      </c>
      <c r="D97">
        <v>834017.02</v>
      </c>
      <c r="E97">
        <v>813746.15041697701</v>
      </c>
      <c r="F97">
        <f t="shared" si="1"/>
        <v>-20270.869583023014</v>
      </c>
    </row>
    <row r="98" spans="1:6">
      <c r="A98" t="s">
        <v>46</v>
      </c>
      <c r="B98" t="s">
        <v>27</v>
      </c>
      <c r="C98" t="s">
        <v>28</v>
      </c>
      <c r="D98">
        <v>675177.68</v>
      </c>
      <c r="E98">
        <v>654935.76548724354</v>
      </c>
      <c r="F98">
        <f t="shared" si="1"/>
        <v>-20241.914512756513</v>
      </c>
    </row>
    <row r="99" spans="1:6">
      <c r="A99" t="s">
        <v>98</v>
      </c>
      <c r="B99" t="s">
        <v>24</v>
      </c>
      <c r="C99" t="s">
        <v>16</v>
      </c>
      <c r="D99">
        <v>727957.48</v>
      </c>
      <c r="E99">
        <v>707957.15685693559</v>
      </c>
      <c r="F99">
        <f t="shared" si="1"/>
        <v>-20000.323143064394</v>
      </c>
    </row>
    <row r="100" spans="1:6">
      <c r="A100" t="s">
        <v>87</v>
      </c>
      <c r="B100" t="s">
        <v>27</v>
      </c>
      <c r="C100" t="s">
        <v>18</v>
      </c>
      <c r="D100">
        <v>636613.23</v>
      </c>
      <c r="E100">
        <v>616827.69728242583</v>
      </c>
      <c r="F100">
        <f t="shared" si="1"/>
        <v>-19785.532717574155</v>
      </c>
    </row>
    <row r="101" spans="1:6">
      <c r="A101" t="s">
        <v>91</v>
      </c>
      <c r="B101" t="s">
        <v>24</v>
      </c>
      <c r="C101" t="s">
        <v>16</v>
      </c>
      <c r="D101">
        <v>738548.42</v>
      </c>
      <c r="E101">
        <v>719288.98815157614</v>
      </c>
      <c r="F101">
        <f t="shared" si="1"/>
        <v>-19259.431848423905</v>
      </c>
    </row>
    <row r="102" spans="1:6">
      <c r="A102" t="s">
        <v>56</v>
      </c>
      <c r="B102" t="s">
        <v>24</v>
      </c>
      <c r="C102" t="s">
        <v>16</v>
      </c>
      <c r="D102">
        <v>743348.84</v>
      </c>
      <c r="E102">
        <v>724230.16278146592</v>
      </c>
      <c r="F102">
        <f t="shared" si="1"/>
        <v>-19118.677218534052</v>
      </c>
    </row>
    <row r="103" spans="1:6">
      <c r="A103" t="s">
        <v>69</v>
      </c>
      <c r="B103" t="s">
        <v>15</v>
      </c>
      <c r="C103" t="s">
        <v>18</v>
      </c>
      <c r="D103">
        <v>550962.93000000005</v>
      </c>
      <c r="E103">
        <v>532071.27557240741</v>
      </c>
      <c r="F103">
        <f t="shared" si="1"/>
        <v>-18891.654427592643</v>
      </c>
    </row>
    <row r="104" spans="1:6">
      <c r="A104" t="s">
        <v>42</v>
      </c>
      <c r="B104" t="s">
        <v>27</v>
      </c>
      <c r="C104" t="s">
        <v>28</v>
      </c>
      <c r="D104">
        <v>569100.78</v>
      </c>
      <c r="E104">
        <v>550455.23034596699</v>
      </c>
      <c r="F104">
        <f t="shared" si="1"/>
        <v>-18645.549654033035</v>
      </c>
    </row>
    <row r="105" spans="1:6">
      <c r="A105" t="s">
        <v>59</v>
      </c>
      <c r="B105" t="s">
        <v>24</v>
      </c>
      <c r="C105" t="s">
        <v>28</v>
      </c>
      <c r="D105">
        <v>725847.99</v>
      </c>
      <c r="E105">
        <v>707637.03727691376</v>
      </c>
      <c r="F105">
        <f t="shared" si="1"/>
        <v>-18210.95272308623</v>
      </c>
    </row>
    <row r="106" spans="1:6">
      <c r="A106" t="s">
        <v>17</v>
      </c>
      <c r="B106" t="s">
        <v>15</v>
      </c>
      <c r="C106" t="s">
        <v>18</v>
      </c>
      <c r="D106">
        <v>806615.54</v>
      </c>
      <c r="E106">
        <v>788462.99734158721</v>
      </c>
      <c r="F106">
        <f t="shared" si="1"/>
        <v>-18152.542658412829</v>
      </c>
    </row>
    <row r="107" spans="1:6">
      <c r="A107" t="s">
        <v>76</v>
      </c>
      <c r="B107" t="s">
        <v>20</v>
      </c>
      <c r="C107" t="s">
        <v>21</v>
      </c>
      <c r="D107">
        <v>606278.30000000005</v>
      </c>
      <c r="E107">
        <v>588233.08874828566</v>
      </c>
      <c r="F107">
        <f t="shared" si="1"/>
        <v>-18045.211251714383</v>
      </c>
    </row>
    <row r="108" spans="1:6">
      <c r="A108" t="s">
        <v>83</v>
      </c>
      <c r="B108" t="s">
        <v>15</v>
      </c>
      <c r="C108" t="s">
        <v>18</v>
      </c>
      <c r="D108">
        <v>750471.34</v>
      </c>
      <c r="E108">
        <v>732541.79770428326</v>
      </c>
      <c r="F108">
        <f t="shared" si="1"/>
        <v>-17929.542295716703</v>
      </c>
    </row>
    <row r="109" spans="1:6">
      <c r="A109" t="s">
        <v>44</v>
      </c>
      <c r="B109" t="s">
        <v>24</v>
      </c>
      <c r="C109" t="s">
        <v>28</v>
      </c>
      <c r="D109">
        <v>739852.58</v>
      </c>
      <c r="E109">
        <v>721988.62992419733</v>
      </c>
      <c r="F109">
        <f t="shared" si="1"/>
        <v>-17863.950075802626</v>
      </c>
    </row>
    <row r="110" spans="1:6">
      <c r="A110" t="s">
        <v>84</v>
      </c>
      <c r="B110" t="s">
        <v>20</v>
      </c>
      <c r="C110" t="s">
        <v>18</v>
      </c>
      <c r="D110">
        <v>729440.45</v>
      </c>
      <c r="E110">
        <v>712020.19851565349</v>
      </c>
      <c r="F110">
        <f t="shared" si="1"/>
        <v>-17420.25148434646</v>
      </c>
    </row>
    <row r="111" spans="1:6">
      <c r="A111" t="s">
        <v>68</v>
      </c>
      <c r="B111" t="s">
        <v>20</v>
      </c>
      <c r="C111" t="s">
        <v>18</v>
      </c>
      <c r="D111">
        <v>678311.17</v>
      </c>
      <c r="E111">
        <v>661025.60674940294</v>
      </c>
      <c r="F111">
        <f t="shared" si="1"/>
        <v>-17285.563250597101</v>
      </c>
    </row>
    <row r="112" spans="1:6">
      <c r="A112" t="s">
        <v>100</v>
      </c>
      <c r="B112" t="s">
        <v>20</v>
      </c>
      <c r="C112" t="s">
        <v>16</v>
      </c>
      <c r="D112">
        <v>712375.77</v>
      </c>
      <c r="E112">
        <v>695170.83872737223</v>
      </c>
      <c r="F112">
        <f t="shared" si="1"/>
        <v>-17204.931272627786</v>
      </c>
    </row>
    <row r="113" spans="1:6">
      <c r="A113" t="s">
        <v>74</v>
      </c>
      <c r="B113" t="s">
        <v>15</v>
      </c>
      <c r="C113" t="s">
        <v>18</v>
      </c>
      <c r="D113">
        <v>810446.53</v>
      </c>
      <c r="E113">
        <v>793294.54314602341</v>
      </c>
      <c r="F113">
        <f t="shared" si="1"/>
        <v>-17151.986853976618</v>
      </c>
    </row>
    <row r="114" spans="1:6">
      <c r="A114" t="s">
        <v>84</v>
      </c>
      <c r="B114" t="s">
        <v>20</v>
      </c>
      <c r="C114" t="s">
        <v>18</v>
      </c>
      <c r="D114">
        <v>606783.67000000004</v>
      </c>
      <c r="E114">
        <v>589840.39629195991</v>
      </c>
      <c r="F114">
        <f t="shared" si="1"/>
        <v>-16943.273708040128</v>
      </c>
    </row>
    <row r="115" spans="1:6">
      <c r="A115" t="s">
        <v>100</v>
      </c>
      <c r="B115" t="s">
        <v>20</v>
      </c>
      <c r="C115" t="s">
        <v>16</v>
      </c>
      <c r="D115">
        <v>844710.67</v>
      </c>
      <c r="E115">
        <v>827938.23191951134</v>
      </c>
      <c r="F115">
        <f t="shared" si="1"/>
        <v>-16772.438080488704</v>
      </c>
    </row>
    <row r="116" spans="1:6">
      <c r="A116" t="s">
        <v>57</v>
      </c>
      <c r="B116" t="s">
        <v>27</v>
      </c>
      <c r="C116" t="s">
        <v>18</v>
      </c>
      <c r="D116">
        <v>715097.57</v>
      </c>
      <c r="E116">
        <v>699033.02598653024</v>
      </c>
      <c r="F116">
        <f t="shared" si="1"/>
        <v>-16064.544013469713</v>
      </c>
    </row>
    <row r="117" spans="1:6">
      <c r="A117" t="s">
        <v>82</v>
      </c>
      <c r="B117" t="s">
        <v>24</v>
      </c>
      <c r="C117" t="s">
        <v>21</v>
      </c>
      <c r="D117">
        <v>763159.92</v>
      </c>
      <c r="E117">
        <v>747224.53519036388</v>
      </c>
      <c r="F117">
        <f t="shared" si="1"/>
        <v>-15935.384809636162</v>
      </c>
    </row>
    <row r="118" spans="1:6">
      <c r="A118" t="s">
        <v>77</v>
      </c>
      <c r="B118" t="s">
        <v>15</v>
      </c>
      <c r="C118" t="s">
        <v>18</v>
      </c>
      <c r="D118">
        <v>712219.81</v>
      </c>
      <c r="E118">
        <v>696347.61497478653</v>
      </c>
      <c r="F118">
        <f t="shared" si="1"/>
        <v>-15872.195025213528</v>
      </c>
    </row>
    <row r="119" spans="1:6">
      <c r="A119" t="s">
        <v>92</v>
      </c>
      <c r="B119" t="s">
        <v>24</v>
      </c>
      <c r="C119" t="s">
        <v>18</v>
      </c>
      <c r="D119">
        <v>714083.68</v>
      </c>
      <c r="E119">
        <v>698309.09973389551</v>
      </c>
      <c r="F119">
        <f t="shared" si="1"/>
        <v>-15774.580266104545</v>
      </c>
    </row>
    <row r="120" spans="1:6">
      <c r="A120" t="s">
        <v>57</v>
      </c>
      <c r="B120" t="s">
        <v>27</v>
      </c>
      <c r="C120" t="s">
        <v>18</v>
      </c>
      <c r="D120">
        <v>695098.51</v>
      </c>
      <c r="E120">
        <v>679648.03129142325</v>
      </c>
      <c r="F120">
        <f t="shared" si="1"/>
        <v>-15450.47870857676</v>
      </c>
    </row>
    <row r="121" spans="1:6">
      <c r="A121" t="s">
        <v>65</v>
      </c>
      <c r="B121" t="s">
        <v>15</v>
      </c>
      <c r="C121" t="s">
        <v>16</v>
      </c>
      <c r="D121">
        <v>780344.18</v>
      </c>
      <c r="E121">
        <v>765352.94065780903</v>
      </c>
      <c r="F121">
        <f t="shared" si="1"/>
        <v>-14991.239342191024</v>
      </c>
    </row>
    <row r="122" spans="1:6">
      <c r="A122" t="s">
        <v>32</v>
      </c>
      <c r="B122" t="s">
        <v>15</v>
      </c>
      <c r="C122" t="s">
        <v>28</v>
      </c>
      <c r="D122">
        <v>592195.85</v>
      </c>
      <c r="E122">
        <v>577329.6680004854</v>
      </c>
      <c r="F122">
        <f t="shared" si="1"/>
        <v>-14866.181999514578</v>
      </c>
    </row>
    <row r="123" spans="1:6">
      <c r="A123" t="s">
        <v>82</v>
      </c>
      <c r="B123" t="s">
        <v>24</v>
      </c>
      <c r="C123" t="s">
        <v>21</v>
      </c>
      <c r="D123">
        <v>828219.67</v>
      </c>
      <c r="E123">
        <v>813873.55233366461</v>
      </c>
      <c r="F123">
        <f t="shared" si="1"/>
        <v>-14346.117666335427</v>
      </c>
    </row>
    <row r="124" spans="1:6">
      <c r="A124" t="s">
        <v>25</v>
      </c>
      <c r="B124" t="s">
        <v>20</v>
      </c>
      <c r="C124" t="s">
        <v>16</v>
      </c>
      <c r="D124">
        <v>555929.4</v>
      </c>
      <c r="E124">
        <v>542206.96907846106</v>
      </c>
      <c r="F124">
        <f t="shared" si="1"/>
        <v>-13722.430921538966</v>
      </c>
    </row>
    <row r="125" spans="1:6">
      <c r="A125" t="s">
        <v>95</v>
      </c>
      <c r="B125" t="s">
        <v>27</v>
      </c>
      <c r="C125" t="s">
        <v>18</v>
      </c>
      <c r="D125">
        <v>487738.26</v>
      </c>
      <c r="E125">
        <v>474051.0689293833</v>
      </c>
      <c r="F125">
        <f t="shared" si="1"/>
        <v>-13687.191070616711</v>
      </c>
    </row>
    <row r="126" spans="1:6">
      <c r="A126" t="s">
        <v>86</v>
      </c>
      <c r="B126" t="s">
        <v>24</v>
      </c>
      <c r="C126" t="s">
        <v>28</v>
      </c>
      <c r="D126">
        <v>697888.09</v>
      </c>
      <c r="E126">
        <v>684259.4616516917</v>
      </c>
      <c r="F126">
        <f t="shared" si="1"/>
        <v>-13628.628348308266</v>
      </c>
    </row>
    <row r="127" spans="1:6">
      <c r="A127" t="s">
        <v>60</v>
      </c>
      <c r="B127" t="s">
        <v>15</v>
      </c>
      <c r="C127" t="s">
        <v>18</v>
      </c>
      <c r="D127">
        <v>698492.67</v>
      </c>
      <c r="E127">
        <v>684873.48800585594</v>
      </c>
      <c r="F127">
        <f t="shared" si="1"/>
        <v>-13619.181994144106</v>
      </c>
    </row>
    <row r="128" spans="1:6">
      <c r="A128" t="s">
        <v>63</v>
      </c>
      <c r="B128" t="s">
        <v>20</v>
      </c>
      <c r="C128" t="s">
        <v>28</v>
      </c>
      <c r="D128">
        <v>820729.29</v>
      </c>
      <c r="E128">
        <v>807447.24645990471</v>
      </c>
      <c r="F128">
        <f t="shared" si="1"/>
        <v>-13282.043540095328</v>
      </c>
    </row>
    <row r="129" spans="1:6">
      <c r="A129" t="s">
        <v>101</v>
      </c>
      <c r="B129" t="s">
        <v>15</v>
      </c>
      <c r="C129" t="s">
        <v>16</v>
      </c>
      <c r="D129">
        <v>536845.42000000004</v>
      </c>
      <c r="E129">
        <v>523650.15582847054</v>
      </c>
      <c r="F129">
        <f t="shared" si="1"/>
        <v>-13195.264171529503</v>
      </c>
    </row>
    <row r="130" spans="1:6">
      <c r="A130" t="s">
        <v>81</v>
      </c>
      <c r="B130" t="s">
        <v>27</v>
      </c>
      <c r="C130" t="s">
        <v>28</v>
      </c>
      <c r="D130">
        <v>737070.18</v>
      </c>
      <c r="E130">
        <v>724104.42548400559</v>
      </c>
      <c r="F130">
        <f t="shared" ref="F130:F193" si="2">E130-D130</f>
        <v>-12965.754515994457</v>
      </c>
    </row>
    <row r="131" spans="1:6">
      <c r="A131" t="s">
        <v>29</v>
      </c>
      <c r="B131" t="s">
        <v>15</v>
      </c>
      <c r="C131" t="s">
        <v>16</v>
      </c>
      <c r="D131">
        <v>537383.79</v>
      </c>
      <c r="E131">
        <v>524917.50233944051</v>
      </c>
      <c r="F131">
        <f t="shared" si="2"/>
        <v>-12466.287660559523</v>
      </c>
    </row>
    <row r="132" spans="1:6">
      <c r="A132" t="s">
        <v>26</v>
      </c>
      <c r="B132" t="s">
        <v>27</v>
      </c>
      <c r="C132" t="s">
        <v>28</v>
      </c>
      <c r="D132">
        <v>701641.97</v>
      </c>
      <c r="E132">
        <v>690717.27807636769</v>
      </c>
      <c r="F132">
        <f t="shared" si="2"/>
        <v>-10924.691923632286</v>
      </c>
    </row>
    <row r="133" spans="1:6">
      <c r="A133" t="s">
        <v>99</v>
      </c>
      <c r="B133" t="s">
        <v>24</v>
      </c>
      <c r="C133" t="s">
        <v>18</v>
      </c>
      <c r="D133">
        <v>771129.07</v>
      </c>
      <c r="E133">
        <v>760678.16443940403</v>
      </c>
      <c r="F133">
        <f t="shared" si="2"/>
        <v>-10450.905560595915</v>
      </c>
    </row>
    <row r="134" spans="1:6">
      <c r="A134" t="s">
        <v>77</v>
      </c>
      <c r="B134" t="s">
        <v>15</v>
      </c>
      <c r="C134" t="s">
        <v>18</v>
      </c>
      <c r="D134">
        <v>672670.54</v>
      </c>
      <c r="E134">
        <v>663155.93660402461</v>
      </c>
      <c r="F134">
        <f t="shared" si="2"/>
        <v>-9514.6033959754277</v>
      </c>
    </row>
    <row r="135" spans="1:6">
      <c r="A135" t="s">
        <v>90</v>
      </c>
      <c r="B135" t="s">
        <v>27</v>
      </c>
      <c r="C135" t="s">
        <v>18</v>
      </c>
      <c r="D135">
        <v>645039.97</v>
      </c>
      <c r="E135">
        <v>635592.38231467584</v>
      </c>
      <c r="F135">
        <f t="shared" si="2"/>
        <v>-9447.5876853241352</v>
      </c>
    </row>
    <row r="136" spans="1:6">
      <c r="A136" t="s">
        <v>34</v>
      </c>
      <c r="B136" t="s">
        <v>20</v>
      </c>
      <c r="C136" t="s">
        <v>28</v>
      </c>
      <c r="D136">
        <v>603297.56999999995</v>
      </c>
      <c r="E136">
        <v>593996.75501750899</v>
      </c>
      <c r="F136">
        <f t="shared" si="2"/>
        <v>-9300.8149824909633</v>
      </c>
    </row>
    <row r="137" spans="1:6">
      <c r="A137" t="s">
        <v>31</v>
      </c>
      <c r="B137" t="s">
        <v>20</v>
      </c>
      <c r="C137" t="s">
        <v>28</v>
      </c>
      <c r="D137">
        <v>828623.85</v>
      </c>
      <c r="E137">
        <v>819644.09901639342</v>
      </c>
      <c r="F137">
        <f t="shared" si="2"/>
        <v>-8979.7509836065583</v>
      </c>
    </row>
    <row r="138" spans="1:6">
      <c r="A138" t="s">
        <v>33</v>
      </c>
      <c r="B138" t="s">
        <v>27</v>
      </c>
      <c r="C138" t="s">
        <v>16</v>
      </c>
      <c r="D138">
        <v>585365.73</v>
      </c>
      <c r="E138">
        <v>577490.79180182377</v>
      </c>
      <c r="F138">
        <f t="shared" si="2"/>
        <v>-7874.9381981762126</v>
      </c>
    </row>
    <row r="139" spans="1:6">
      <c r="A139" t="s">
        <v>38</v>
      </c>
      <c r="B139" t="s">
        <v>27</v>
      </c>
      <c r="C139" t="s">
        <v>18</v>
      </c>
      <c r="D139">
        <v>740496.65</v>
      </c>
      <c r="E139">
        <v>732953.71427899832</v>
      </c>
      <c r="F139">
        <f t="shared" si="2"/>
        <v>-7542.9357210017042</v>
      </c>
    </row>
    <row r="140" spans="1:6">
      <c r="A140" t="s">
        <v>76</v>
      </c>
      <c r="B140" t="s">
        <v>20</v>
      </c>
      <c r="C140" t="s">
        <v>21</v>
      </c>
      <c r="D140">
        <v>622892.42000000004</v>
      </c>
      <c r="E140">
        <v>616115.46416174609</v>
      </c>
      <c r="F140">
        <f t="shared" si="2"/>
        <v>-6776.9558382539544</v>
      </c>
    </row>
    <row r="141" spans="1:6">
      <c r="A141" t="s">
        <v>85</v>
      </c>
      <c r="B141" t="s">
        <v>24</v>
      </c>
      <c r="C141" t="s">
        <v>21</v>
      </c>
      <c r="D141">
        <v>764949</v>
      </c>
      <c r="E141">
        <v>758353.64621233684</v>
      </c>
      <c r="F141">
        <f t="shared" si="2"/>
        <v>-6595.3537876631599</v>
      </c>
    </row>
    <row r="142" spans="1:6">
      <c r="A142" t="s">
        <v>77</v>
      </c>
      <c r="B142" t="s">
        <v>15</v>
      </c>
      <c r="C142" t="s">
        <v>18</v>
      </c>
      <c r="D142">
        <v>732667.92</v>
      </c>
      <c r="E142">
        <v>726619.41844541032</v>
      </c>
      <c r="F142">
        <f t="shared" si="2"/>
        <v>-6048.5015545897186</v>
      </c>
    </row>
    <row r="143" spans="1:6">
      <c r="A143" t="s">
        <v>56</v>
      </c>
      <c r="B143" t="s">
        <v>24</v>
      </c>
      <c r="C143" t="s">
        <v>16</v>
      </c>
      <c r="D143">
        <v>646559.71</v>
      </c>
      <c r="E143">
        <v>641319.99314849323</v>
      </c>
      <c r="F143">
        <f t="shared" si="2"/>
        <v>-5239.7168515067315</v>
      </c>
    </row>
    <row r="144" spans="1:6">
      <c r="A144" t="s">
        <v>97</v>
      </c>
      <c r="B144" t="s">
        <v>20</v>
      </c>
      <c r="C144" t="s">
        <v>28</v>
      </c>
      <c r="D144">
        <v>724346.73</v>
      </c>
      <c r="E144">
        <v>719327.32802081446</v>
      </c>
      <c r="F144">
        <f t="shared" si="2"/>
        <v>-5019.4019791855244</v>
      </c>
    </row>
    <row r="145" spans="1:6">
      <c r="A145" t="s">
        <v>95</v>
      </c>
      <c r="B145" t="s">
        <v>27</v>
      </c>
      <c r="C145" t="s">
        <v>18</v>
      </c>
      <c r="D145">
        <v>533121.26</v>
      </c>
      <c r="E145">
        <v>528723.33514466288</v>
      </c>
      <c r="F145">
        <f t="shared" si="2"/>
        <v>-4397.924855337129</v>
      </c>
    </row>
    <row r="146" spans="1:6">
      <c r="A146" t="s">
        <v>43</v>
      </c>
      <c r="B146" t="s">
        <v>27</v>
      </c>
      <c r="C146" t="s">
        <v>18</v>
      </c>
      <c r="D146">
        <v>574436.29</v>
      </c>
      <c r="E146">
        <v>570202.08910318941</v>
      </c>
      <c r="F146">
        <f t="shared" si="2"/>
        <v>-4234.2008968106238</v>
      </c>
    </row>
    <row r="147" spans="1:6">
      <c r="A147" t="s">
        <v>59</v>
      </c>
      <c r="B147" t="s">
        <v>24</v>
      </c>
      <c r="C147" t="s">
        <v>28</v>
      </c>
      <c r="D147">
        <v>712868.35</v>
      </c>
      <c r="E147">
        <v>708647.56342094752</v>
      </c>
      <c r="F147">
        <f t="shared" si="2"/>
        <v>-4220.786579052452</v>
      </c>
    </row>
    <row r="148" spans="1:6">
      <c r="A148" t="s">
        <v>68</v>
      </c>
      <c r="B148" t="s">
        <v>20</v>
      </c>
      <c r="C148" t="s">
        <v>18</v>
      </c>
      <c r="D148">
        <v>712546.38</v>
      </c>
      <c r="E148">
        <v>709231.53392644483</v>
      </c>
      <c r="F148">
        <f t="shared" si="2"/>
        <v>-3314.846073555178</v>
      </c>
    </row>
    <row r="149" spans="1:6">
      <c r="A149" t="s">
        <v>89</v>
      </c>
      <c r="B149" t="s">
        <v>15</v>
      </c>
      <c r="C149" t="s">
        <v>28</v>
      </c>
      <c r="D149">
        <v>799756.46</v>
      </c>
      <c r="E149">
        <v>796648.43677889288</v>
      </c>
      <c r="F149">
        <f t="shared" si="2"/>
        <v>-3108.0232211070834</v>
      </c>
    </row>
    <row r="150" spans="1:6">
      <c r="A150" t="s">
        <v>87</v>
      </c>
      <c r="B150" t="s">
        <v>27</v>
      </c>
      <c r="C150" t="s">
        <v>18</v>
      </c>
      <c r="D150">
        <v>528852.62</v>
      </c>
      <c r="E150">
        <v>525998.89047620317</v>
      </c>
      <c r="F150">
        <f t="shared" si="2"/>
        <v>-2853.729523796821</v>
      </c>
    </row>
    <row r="151" spans="1:6">
      <c r="A151" t="s">
        <v>48</v>
      </c>
      <c r="B151" t="s">
        <v>27</v>
      </c>
      <c r="C151" t="s">
        <v>18</v>
      </c>
      <c r="D151">
        <v>665594.93999999994</v>
      </c>
      <c r="E151">
        <v>663288.51118670334</v>
      </c>
      <c r="F151">
        <f t="shared" si="2"/>
        <v>-2306.428813296603</v>
      </c>
    </row>
    <row r="152" spans="1:6">
      <c r="A152" t="s">
        <v>36</v>
      </c>
      <c r="B152" t="s">
        <v>15</v>
      </c>
      <c r="C152" t="s">
        <v>21</v>
      </c>
      <c r="D152">
        <v>500298.48</v>
      </c>
      <c r="E152">
        <v>498049.24664712569</v>
      </c>
      <c r="F152">
        <f t="shared" si="2"/>
        <v>-2249.2333528742893</v>
      </c>
    </row>
    <row r="153" spans="1:6">
      <c r="A153" t="s">
        <v>40</v>
      </c>
      <c r="B153" t="s">
        <v>15</v>
      </c>
      <c r="C153" t="s">
        <v>16</v>
      </c>
      <c r="D153">
        <v>616069.41</v>
      </c>
      <c r="E153">
        <v>614725.43902986892</v>
      </c>
      <c r="F153">
        <f t="shared" si="2"/>
        <v>-1343.9709701311076</v>
      </c>
    </row>
    <row r="154" spans="1:6">
      <c r="A154" t="s">
        <v>48</v>
      </c>
      <c r="B154" t="s">
        <v>27</v>
      </c>
      <c r="C154" t="s">
        <v>18</v>
      </c>
      <c r="D154">
        <v>783797.89</v>
      </c>
      <c r="E154">
        <v>782866.13433765562</v>
      </c>
      <c r="F154">
        <f t="shared" si="2"/>
        <v>-931.75566234439611</v>
      </c>
    </row>
    <row r="155" spans="1:6">
      <c r="A155" t="s">
        <v>54</v>
      </c>
      <c r="B155" t="s">
        <v>15</v>
      </c>
      <c r="C155" t="s">
        <v>18</v>
      </c>
      <c r="D155">
        <v>801830.35</v>
      </c>
      <c r="E155">
        <v>801821.31357827969</v>
      </c>
      <c r="F155">
        <f t="shared" si="2"/>
        <v>-9.0364217202877626</v>
      </c>
    </row>
    <row r="156" spans="1:6">
      <c r="A156" t="s">
        <v>60</v>
      </c>
      <c r="B156" t="s">
        <v>15</v>
      </c>
      <c r="C156" t="s">
        <v>18</v>
      </c>
      <c r="D156">
        <v>702318.94</v>
      </c>
      <c r="E156">
        <v>702353.14906601061</v>
      </c>
      <c r="F156">
        <f t="shared" si="2"/>
        <v>34.209066010662355</v>
      </c>
    </row>
    <row r="157" spans="1:6">
      <c r="A157" t="s">
        <v>83</v>
      </c>
      <c r="B157" t="s">
        <v>15</v>
      </c>
      <c r="C157" t="s">
        <v>18</v>
      </c>
      <c r="D157">
        <v>679888.74</v>
      </c>
      <c r="E157">
        <v>680126.51210481371</v>
      </c>
      <c r="F157">
        <f t="shared" si="2"/>
        <v>237.77210481371731</v>
      </c>
    </row>
    <row r="158" spans="1:6">
      <c r="A158" t="s">
        <v>58</v>
      </c>
      <c r="B158" t="s">
        <v>20</v>
      </c>
      <c r="C158" t="s">
        <v>16</v>
      </c>
      <c r="D158">
        <v>570964.84</v>
      </c>
      <c r="E158">
        <v>571570.11952692247</v>
      </c>
      <c r="F158">
        <f t="shared" si="2"/>
        <v>605.27952692250255</v>
      </c>
    </row>
    <row r="159" spans="1:6">
      <c r="A159" t="s">
        <v>63</v>
      </c>
      <c r="B159" t="s">
        <v>20</v>
      </c>
      <c r="C159" t="s">
        <v>28</v>
      </c>
      <c r="D159">
        <v>665534.69999999995</v>
      </c>
      <c r="E159">
        <v>666659.77577394946</v>
      </c>
      <c r="F159">
        <f t="shared" si="2"/>
        <v>1125.075773949502</v>
      </c>
    </row>
    <row r="160" spans="1:6">
      <c r="A160" t="s">
        <v>61</v>
      </c>
      <c r="B160" t="s">
        <v>20</v>
      </c>
      <c r="C160" t="s">
        <v>28</v>
      </c>
      <c r="D160">
        <v>700078.32</v>
      </c>
      <c r="E160">
        <v>701359.40855047468</v>
      </c>
      <c r="F160">
        <f t="shared" si="2"/>
        <v>1281.0885504747275</v>
      </c>
    </row>
    <row r="161" spans="1:6">
      <c r="A161" t="s">
        <v>73</v>
      </c>
      <c r="B161" t="s">
        <v>15</v>
      </c>
      <c r="C161" t="s">
        <v>28</v>
      </c>
      <c r="D161">
        <v>825060.52</v>
      </c>
      <c r="E161">
        <v>826736.55742939271</v>
      </c>
      <c r="F161">
        <f t="shared" si="2"/>
        <v>1676.037429392687</v>
      </c>
    </row>
    <row r="162" spans="1:6">
      <c r="A162" t="s">
        <v>96</v>
      </c>
      <c r="B162" t="s">
        <v>27</v>
      </c>
      <c r="C162" t="s">
        <v>18</v>
      </c>
      <c r="D162">
        <v>668459.37</v>
      </c>
      <c r="E162">
        <v>670370.02174919448</v>
      </c>
      <c r="F162">
        <f t="shared" si="2"/>
        <v>1910.6517491944833</v>
      </c>
    </row>
    <row r="163" spans="1:6">
      <c r="A163" t="s">
        <v>84</v>
      </c>
      <c r="B163" t="s">
        <v>20</v>
      </c>
      <c r="C163" t="s">
        <v>18</v>
      </c>
      <c r="D163">
        <v>647953.78</v>
      </c>
      <c r="E163">
        <v>649897.10113463574</v>
      </c>
      <c r="F163">
        <f t="shared" si="2"/>
        <v>1943.321134635713</v>
      </c>
    </row>
    <row r="164" spans="1:6">
      <c r="A164" t="s">
        <v>80</v>
      </c>
      <c r="B164" t="s">
        <v>27</v>
      </c>
      <c r="C164" t="s">
        <v>16</v>
      </c>
      <c r="D164">
        <v>640666.53</v>
      </c>
      <c r="E164">
        <v>643472.08778379892</v>
      </c>
      <c r="F164">
        <f t="shared" si="2"/>
        <v>2805.5577837988967</v>
      </c>
    </row>
    <row r="165" spans="1:6">
      <c r="A165" t="s">
        <v>86</v>
      </c>
      <c r="B165" t="s">
        <v>24</v>
      </c>
      <c r="C165" t="s">
        <v>28</v>
      </c>
      <c r="D165">
        <v>746115.59</v>
      </c>
      <c r="E165">
        <v>750592.0743490319</v>
      </c>
      <c r="F165">
        <f t="shared" si="2"/>
        <v>4476.4843490319327</v>
      </c>
    </row>
    <row r="166" spans="1:6">
      <c r="A166" t="s">
        <v>58</v>
      </c>
      <c r="B166" t="s">
        <v>20</v>
      </c>
      <c r="C166" t="s">
        <v>16</v>
      </c>
      <c r="D166">
        <v>601568.87</v>
      </c>
      <c r="E166">
        <v>606494.08090060926</v>
      </c>
      <c r="F166">
        <f t="shared" si="2"/>
        <v>4925.2109006092651</v>
      </c>
    </row>
    <row r="167" spans="1:6">
      <c r="A167" t="s">
        <v>25</v>
      </c>
      <c r="B167" t="s">
        <v>20</v>
      </c>
      <c r="C167" t="s">
        <v>16</v>
      </c>
      <c r="D167">
        <v>565810.99</v>
      </c>
      <c r="E167">
        <v>570739.98101300164</v>
      </c>
      <c r="F167">
        <f t="shared" si="2"/>
        <v>4928.9910130016506</v>
      </c>
    </row>
    <row r="168" spans="1:6">
      <c r="A168" t="s">
        <v>72</v>
      </c>
      <c r="B168" t="s">
        <v>15</v>
      </c>
      <c r="C168" t="s">
        <v>21</v>
      </c>
      <c r="D168">
        <v>598904.9</v>
      </c>
      <c r="E168">
        <v>603953.17934170167</v>
      </c>
      <c r="F168">
        <f t="shared" si="2"/>
        <v>5048.279341701651</v>
      </c>
    </row>
    <row r="169" spans="1:6">
      <c r="A169" t="s">
        <v>67</v>
      </c>
      <c r="B169" t="s">
        <v>27</v>
      </c>
      <c r="C169" t="s">
        <v>16</v>
      </c>
      <c r="D169">
        <v>855341.28</v>
      </c>
      <c r="E169">
        <v>860492.48584030743</v>
      </c>
      <c r="F169">
        <f t="shared" si="2"/>
        <v>5151.2058403074043</v>
      </c>
    </row>
    <row r="170" spans="1:6">
      <c r="A170" t="s">
        <v>87</v>
      </c>
      <c r="B170" t="s">
        <v>27</v>
      </c>
      <c r="C170" t="s">
        <v>18</v>
      </c>
      <c r="D170">
        <v>605751.32999999996</v>
      </c>
      <c r="E170">
        <v>610923.35407995328</v>
      </c>
      <c r="F170">
        <f t="shared" si="2"/>
        <v>5172.0240799533203</v>
      </c>
    </row>
    <row r="171" spans="1:6">
      <c r="A171" t="s">
        <v>46</v>
      </c>
      <c r="B171" t="s">
        <v>27</v>
      </c>
      <c r="C171" t="s">
        <v>28</v>
      </c>
      <c r="D171">
        <v>605775.32999999996</v>
      </c>
      <c r="E171">
        <v>611088.34352781286</v>
      </c>
      <c r="F171">
        <f t="shared" si="2"/>
        <v>5313.0135278129019</v>
      </c>
    </row>
    <row r="172" spans="1:6">
      <c r="A172" t="s">
        <v>81</v>
      </c>
      <c r="B172" t="s">
        <v>27</v>
      </c>
      <c r="C172" t="s">
        <v>28</v>
      </c>
      <c r="D172">
        <v>761919.25</v>
      </c>
      <c r="E172">
        <v>767553.89470628882</v>
      </c>
      <c r="F172">
        <f t="shared" si="2"/>
        <v>5634.6447062888183</v>
      </c>
    </row>
    <row r="173" spans="1:6">
      <c r="A173" t="s">
        <v>31</v>
      </c>
      <c r="B173" t="s">
        <v>20</v>
      </c>
      <c r="C173" t="s">
        <v>28</v>
      </c>
      <c r="D173">
        <v>736633.4</v>
      </c>
      <c r="E173">
        <v>742308.81400619377</v>
      </c>
      <c r="F173">
        <f t="shared" si="2"/>
        <v>5675.4140061937505</v>
      </c>
    </row>
    <row r="174" spans="1:6">
      <c r="A174" t="s">
        <v>19</v>
      </c>
      <c r="B174" t="s">
        <v>20</v>
      </c>
      <c r="C174" t="s">
        <v>21</v>
      </c>
      <c r="D174">
        <v>779010.94</v>
      </c>
      <c r="E174">
        <v>784689.30782756349</v>
      </c>
      <c r="F174">
        <f t="shared" si="2"/>
        <v>5678.3678275635466</v>
      </c>
    </row>
    <row r="175" spans="1:6">
      <c r="A175" t="s">
        <v>67</v>
      </c>
      <c r="B175" t="s">
        <v>27</v>
      </c>
      <c r="C175" t="s">
        <v>16</v>
      </c>
      <c r="D175">
        <v>751393.88</v>
      </c>
      <c r="E175">
        <v>757085.01722403814</v>
      </c>
      <c r="F175">
        <f t="shared" si="2"/>
        <v>5691.1372240381315</v>
      </c>
    </row>
    <row r="176" spans="1:6">
      <c r="A176" t="s">
        <v>30</v>
      </c>
      <c r="B176" t="s">
        <v>20</v>
      </c>
      <c r="C176" t="s">
        <v>16</v>
      </c>
      <c r="D176">
        <v>798952.17</v>
      </c>
      <c r="E176">
        <v>804678.59407682903</v>
      </c>
      <c r="F176">
        <f t="shared" si="2"/>
        <v>5726.4240768289892</v>
      </c>
    </row>
    <row r="177" spans="1:6">
      <c r="A177" t="s">
        <v>80</v>
      </c>
      <c r="B177" t="s">
        <v>27</v>
      </c>
      <c r="C177" t="s">
        <v>16</v>
      </c>
      <c r="D177">
        <v>670629.48</v>
      </c>
      <c r="E177">
        <v>676665.74731178663</v>
      </c>
      <c r="F177">
        <f t="shared" si="2"/>
        <v>6036.2673117866507</v>
      </c>
    </row>
    <row r="178" spans="1:6">
      <c r="A178" t="s">
        <v>74</v>
      </c>
      <c r="B178" t="s">
        <v>15</v>
      </c>
      <c r="C178" t="s">
        <v>18</v>
      </c>
      <c r="D178">
        <v>761963.23</v>
      </c>
      <c r="E178">
        <v>768134.73945787211</v>
      </c>
      <c r="F178">
        <f t="shared" si="2"/>
        <v>6171.5094578721328</v>
      </c>
    </row>
    <row r="179" spans="1:6">
      <c r="A179" t="s">
        <v>70</v>
      </c>
      <c r="B179" t="s">
        <v>27</v>
      </c>
      <c r="C179" t="s">
        <v>16</v>
      </c>
      <c r="D179">
        <v>559422.02</v>
      </c>
      <c r="E179">
        <v>565717.28924191778</v>
      </c>
      <c r="F179">
        <f t="shared" si="2"/>
        <v>6295.269241917762</v>
      </c>
    </row>
    <row r="180" spans="1:6">
      <c r="A180" t="s">
        <v>84</v>
      </c>
      <c r="B180" t="s">
        <v>20</v>
      </c>
      <c r="C180" t="s">
        <v>18</v>
      </c>
      <c r="D180">
        <v>642751.42000000004</v>
      </c>
      <c r="E180">
        <v>649068.76104123879</v>
      </c>
      <c r="F180">
        <f t="shared" si="2"/>
        <v>6317.3410412387457</v>
      </c>
    </row>
    <row r="181" spans="1:6">
      <c r="A181" t="s">
        <v>55</v>
      </c>
      <c r="B181" t="s">
        <v>20</v>
      </c>
      <c r="C181" t="s">
        <v>18</v>
      </c>
      <c r="D181">
        <v>593247.25</v>
      </c>
      <c r="E181">
        <v>599938.0349177192</v>
      </c>
      <c r="F181">
        <f t="shared" si="2"/>
        <v>6690.7849177191965</v>
      </c>
    </row>
    <row r="182" spans="1:6">
      <c r="A182" t="s">
        <v>26</v>
      </c>
      <c r="B182" t="s">
        <v>27</v>
      </c>
      <c r="C182" t="s">
        <v>28</v>
      </c>
      <c r="D182">
        <v>783672.82</v>
      </c>
      <c r="E182">
        <v>790420.01051062543</v>
      </c>
      <c r="F182">
        <f t="shared" si="2"/>
        <v>6747.1905106254853</v>
      </c>
    </row>
    <row r="183" spans="1:6">
      <c r="A183" t="s">
        <v>74</v>
      </c>
      <c r="B183" t="s">
        <v>15</v>
      </c>
      <c r="C183" t="s">
        <v>18</v>
      </c>
      <c r="D183">
        <v>946833.54</v>
      </c>
      <c r="E183">
        <v>953665.77519676147</v>
      </c>
      <c r="F183">
        <f t="shared" si="2"/>
        <v>6832.2351967614377</v>
      </c>
    </row>
    <row r="184" spans="1:6">
      <c r="A184" t="s">
        <v>88</v>
      </c>
      <c r="B184" t="s">
        <v>15</v>
      </c>
      <c r="C184" t="s">
        <v>18</v>
      </c>
      <c r="D184">
        <v>708985.19</v>
      </c>
      <c r="E184">
        <v>715922.39786934806</v>
      </c>
      <c r="F184">
        <f t="shared" si="2"/>
        <v>6937.2078693481162</v>
      </c>
    </row>
    <row r="185" spans="1:6">
      <c r="A185" t="s">
        <v>97</v>
      </c>
      <c r="B185" t="s">
        <v>20</v>
      </c>
      <c r="C185" t="s">
        <v>28</v>
      </c>
      <c r="D185">
        <v>730890.01</v>
      </c>
      <c r="E185">
        <v>737983.65615103988</v>
      </c>
      <c r="F185">
        <f t="shared" si="2"/>
        <v>7093.6461510398658</v>
      </c>
    </row>
    <row r="186" spans="1:6">
      <c r="A186" t="s">
        <v>67</v>
      </c>
      <c r="B186" t="s">
        <v>27</v>
      </c>
      <c r="C186" t="s">
        <v>16</v>
      </c>
      <c r="D186">
        <v>819660.59</v>
      </c>
      <c r="E186">
        <v>826983.06732274883</v>
      </c>
      <c r="F186">
        <f t="shared" si="2"/>
        <v>7322.4773227488622</v>
      </c>
    </row>
    <row r="187" spans="1:6">
      <c r="A187" t="s">
        <v>49</v>
      </c>
      <c r="B187" t="s">
        <v>15</v>
      </c>
      <c r="C187" t="s">
        <v>28</v>
      </c>
      <c r="D187">
        <v>633494.21</v>
      </c>
      <c r="E187">
        <v>641413.01406764239</v>
      </c>
      <c r="F187">
        <f t="shared" si="2"/>
        <v>7918.804067642428</v>
      </c>
    </row>
    <row r="188" spans="1:6">
      <c r="A188" t="s">
        <v>93</v>
      </c>
      <c r="B188" t="s">
        <v>27</v>
      </c>
      <c r="C188" t="s">
        <v>16</v>
      </c>
      <c r="D188">
        <v>609949</v>
      </c>
      <c r="E188">
        <v>617914.77881753084</v>
      </c>
      <c r="F188">
        <f t="shared" si="2"/>
        <v>7965.7788175308378</v>
      </c>
    </row>
    <row r="189" spans="1:6">
      <c r="A189" t="s">
        <v>75</v>
      </c>
      <c r="B189" t="s">
        <v>27</v>
      </c>
      <c r="C189" t="s">
        <v>16</v>
      </c>
      <c r="D189">
        <v>836908.24</v>
      </c>
      <c r="E189">
        <v>845641.64732833998</v>
      </c>
      <c r="F189">
        <f t="shared" si="2"/>
        <v>8733.4073283399921</v>
      </c>
    </row>
    <row r="190" spans="1:6">
      <c r="A190" t="s">
        <v>90</v>
      </c>
      <c r="B190" t="s">
        <v>27</v>
      </c>
      <c r="C190" t="s">
        <v>18</v>
      </c>
      <c r="D190">
        <v>635837.74</v>
      </c>
      <c r="E190">
        <v>644695.73477325495</v>
      </c>
      <c r="F190">
        <f t="shared" si="2"/>
        <v>8857.9947732549626</v>
      </c>
    </row>
    <row r="191" spans="1:6">
      <c r="A191" t="s">
        <v>46</v>
      </c>
      <c r="B191" t="s">
        <v>27</v>
      </c>
      <c r="C191" t="s">
        <v>28</v>
      </c>
      <c r="D191">
        <v>691113.62</v>
      </c>
      <c r="E191">
        <v>700011.11766758829</v>
      </c>
      <c r="F191">
        <f t="shared" si="2"/>
        <v>8897.4976675882936</v>
      </c>
    </row>
    <row r="192" spans="1:6">
      <c r="A192" t="s">
        <v>43</v>
      </c>
      <c r="B192" t="s">
        <v>27</v>
      </c>
      <c r="C192" t="s">
        <v>18</v>
      </c>
      <c r="D192">
        <v>614596.31999999995</v>
      </c>
      <c r="E192">
        <v>623687.49171526823</v>
      </c>
      <c r="F192">
        <f t="shared" si="2"/>
        <v>9091.1717152682832</v>
      </c>
    </row>
    <row r="193" spans="1:6">
      <c r="A193" t="s">
        <v>101</v>
      </c>
      <c r="B193" t="s">
        <v>15</v>
      </c>
      <c r="C193" t="s">
        <v>16</v>
      </c>
      <c r="D193">
        <v>726776.22</v>
      </c>
      <c r="E193">
        <v>735924.31440246012</v>
      </c>
      <c r="F193">
        <f t="shared" si="2"/>
        <v>9148.0944024601486</v>
      </c>
    </row>
    <row r="194" spans="1:6">
      <c r="A194" t="s">
        <v>95</v>
      </c>
      <c r="B194" t="s">
        <v>27</v>
      </c>
      <c r="C194" t="s">
        <v>18</v>
      </c>
      <c r="D194">
        <v>498970.32</v>
      </c>
      <c r="E194">
        <v>508389.30091405177</v>
      </c>
      <c r="F194">
        <f t="shared" ref="F194:F257" si="3">E194-D194</f>
        <v>9418.9809140517609</v>
      </c>
    </row>
    <row r="195" spans="1:6">
      <c r="A195" t="s">
        <v>67</v>
      </c>
      <c r="B195" t="s">
        <v>27</v>
      </c>
      <c r="C195" t="s">
        <v>16</v>
      </c>
      <c r="D195">
        <v>761077.08</v>
      </c>
      <c r="E195">
        <v>770820.74120499648</v>
      </c>
      <c r="F195">
        <f t="shared" si="3"/>
        <v>9743.6612049965188</v>
      </c>
    </row>
    <row r="196" spans="1:6">
      <c r="A196" t="s">
        <v>81</v>
      </c>
      <c r="B196" t="s">
        <v>27</v>
      </c>
      <c r="C196" t="s">
        <v>28</v>
      </c>
      <c r="D196">
        <v>810355.02</v>
      </c>
      <c r="E196">
        <v>820135.37301392318</v>
      </c>
      <c r="F196">
        <f t="shared" si="3"/>
        <v>9780.3530139231589</v>
      </c>
    </row>
    <row r="197" spans="1:6">
      <c r="A197" t="s">
        <v>94</v>
      </c>
      <c r="B197" t="s">
        <v>15</v>
      </c>
      <c r="C197" t="s">
        <v>16</v>
      </c>
      <c r="D197">
        <v>702068.92</v>
      </c>
      <c r="E197">
        <v>711918.92617584218</v>
      </c>
      <c r="F197">
        <f t="shared" si="3"/>
        <v>9850.0061758421361</v>
      </c>
    </row>
    <row r="198" spans="1:6">
      <c r="A198" t="s">
        <v>92</v>
      </c>
      <c r="B198" t="s">
        <v>24</v>
      </c>
      <c r="C198" t="s">
        <v>18</v>
      </c>
      <c r="D198">
        <v>497439.82</v>
      </c>
      <c r="E198">
        <v>508018.56887594296</v>
      </c>
      <c r="F198">
        <f t="shared" si="3"/>
        <v>10578.748875942954</v>
      </c>
    </row>
    <row r="199" spans="1:6">
      <c r="A199" t="s">
        <v>69</v>
      </c>
      <c r="B199" t="s">
        <v>15</v>
      </c>
      <c r="C199" t="s">
        <v>18</v>
      </c>
      <c r="D199">
        <v>443275.59</v>
      </c>
      <c r="E199">
        <v>454066.83707069088</v>
      </c>
      <c r="F199">
        <f t="shared" si="3"/>
        <v>10791.24707069085</v>
      </c>
    </row>
    <row r="200" spans="1:6">
      <c r="A200" t="s">
        <v>65</v>
      </c>
      <c r="B200" t="s">
        <v>15</v>
      </c>
      <c r="C200" t="s">
        <v>16</v>
      </c>
      <c r="D200">
        <v>804264</v>
      </c>
      <c r="E200">
        <v>815514.81785620144</v>
      </c>
      <c r="F200">
        <f t="shared" si="3"/>
        <v>11250.817856201436</v>
      </c>
    </row>
    <row r="201" spans="1:6">
      <c r="A201" t="s">
        <v>72</v>
      </c>
      <c r="B201" t="s">
        <v>15</v>
      </c>
      <c r="C201" t="s">
        <v>21</v>
      </c>
      <c r="D201">
        <v>650795.49</v>
      </c>
      <c r="E201">
        <v>662612.17402959929</v>
      </c>
      <c r="F201">
        <f t="shared" si="3"/>
        <v>11816.684029599302</v>
      </c>
    </row>
    <row r="202" spans="1:6">
      <c r="A202" t="s">
        <v>29</v>
      </c>
      <c r="B202" t="s">
        <v>15</v>
      </c>
      <c r="C202" t="s">
        <v>16</v>
      </c>
      <c r="D202">
        <v>500173.02</v>
      </c>
      <c r="E202">
        <v>512684.52433322003</v>
      </c>
      <c r="F202">
        <f t="shared" si="3"/>
        <v>12511.504333220015</v>
      </c>
    </row>
    <row r="203" spans="1:6">
      <c r="A203" t="s">
        <v>22</v>
      </c>
      <c r="B203" t="s">
        <v>15</v>
      </c>
      <c r="C203" t="s">
        <v>16</v>
      </c>
      <c r="D203">
        <v>746501.09</v>
      </c>
      <c r="E203">
        <v>759039.74316955579</v>
      </c>
      <c r="F203">
        <f t="shared" si="3"/>
        <v>12538.653169555822</v>
      </c>
    </row>
    <row r="204" spans="1:6">
      <c r="A204" t="s">
        <v>54</v>
      </c>
      <c r="B204" t="s">
        <v>15</v>
      </c>
      <c r="C204" t="s">
        <v>18</v>
      </c>
      <c r="D204">
        <v>811452.72</v>
      </c>
      <c r="E204">
        <v>824109.0215148608</v>
      </c>
      <c r="F204">
        <f t="shared" si="3"/>
        <v>12656.301514860825</v>
      </c>
    </row>
    <row r="205" spans="1:6">
      <c r="A205" t="s">
        <v>78</v>
      </c>
      <c r="B205" t="s">
        <v>15</v>
      </c>
      <c r="C205" t="s">
        <v>28</v>
      </c>
      <c r="D205">
        <v>527681.56000000006</v>
      </c>
      <c r="E205">
        <v>540734.53357105947</v>
      </c>
      <c r="F205">
        <f t="shared" si="3"/>
        <v>13052.97357105941</v>
      </c>
    </row>
    <row r="206" spans="1:6">
      <c r="A206" t="s">
        <v>43</v>
      </c>
      <c r="B206" t="s">
        <v>27</v>
      </c>
      <c r="C206" t="s">
        <v>18</v>
      </c>
      <c r="D206">
        <v>450711.92</v>
      </c>
      <c r="E206">
        <v>463803.27272177627</v>
      </c>
      <c r="F206">
        <f t="shared" si="3"/>
        <v>13091.352721776289</v>
      </c>
    </row>
    <row r="207" spans="1:6">
      <c r="A207" t="s">
        <v>70</v>
      </c>
      <c r="B207" t="s">
        <v>27</v>
      </c>
      <c r="C207" t="s">
        <v>16</v>
      </c>
      <c r="D207">
        <v>611924.27</v>
      </c>
      <c r="E207">
        <v>625266.77851405973</v>
      </c>
      <c r="F207">
        <f t="shared" si="3"/>
        <v>13342.508514059708</v>
      </c>
    </row>
    <row r="208" spans="1:6">
      <c r="A208" t="s">
        <v>64</v>
      </c>
      <c r="B208" t="s">
        <v>15</v>
      </c>
      <c r="C208" t="s">
        <v>16</v>
      </c>
      <c r="D208">
        <v>679731.57</v>
      </c>
      <c r="E208">
        <v>693415.67044690775</v>
      </c>
      <c r="F208">
        <f t="shared" si="3"/>
        <v>13684.100446907803</v>
      </c>
    </row>
    <row r="209" spans="1:6">
      <c r="A209" t="s">
        <v>41</v>
      </c>
      <c r="B209" t="s">
        <v>24</v>
      </c>
      <c r="C209" t="s">
        <v>18</v>
      </c>
      <c r="D209">
        <v>643657.47</v>
      </c>
      <c r="E209">
        <v>657424.80227491562</v>
      </c>
      <c r="F209">
        <f t="shared" si="3"/>
        <v>13767.33227491565</v>
      </c>
    </row>
    <row r="210" spans="1:6">
      <c r="A210" t="s">
        <v>91</v>
      </c>
      <c r="B210" t="s">
        <v>24</v>
      </c>
      <c r="C210" t="s">
        <v>16</v>
      </c>
      <c r="D210">
        <v>756619.77</v>
      </c>
      <c r="E210">
        <v>770956.11388078821</v>
      </c>
      <c r="F210">
        <f t="shared" si="3"/>
        <v>14336.34388078819</v>
      </c>
    </row>
    <row r="211" spans="1:6">
      <c r="A211" t="s">
        <v>37</v>
      </c>
      <c r="B211" t="s">
        <v>24</v>
      </c>
      <c r="C211" t="s">
        <v>18</v>
      </c>
      <c r="D211">
        <v>572011.19999999995</v>
      </c>
      <c r="E211">
        <v>586576.67192075937</v>
      </c>
      <c r="F211">
        <f t="shared" si="3"/>
        <v>14565.471920759417</v>
      </c>
    </row>
    <row r="212" spans="1:6">
      <c r="A212" t="s">
        <v>97</v>
      </c>
      <c r="B212" t="s">
        <v>20</v>
      </c>
      <c r="C212" t="s">
        <v>28</v>
      </c>
      <c r="D212">
        <v>703812.99</v>
      </c>
      <c r="E212">
        <v>718759.95269499393</v>
      </c>
      <c r="F212">
        <f t="shared" si="3"/>
        <v>14946.962694993941</v>
      </c>
    </row>
    <row r="213" spans="1:6">
      <c r="A213" t="s">
        <v>39</v>
      </c>
      <c r="B213" t="s">
        <v>15</v>
      </c>
      <c r="C213" t="s">
        <v>18</v>
      </c>
      <c r="D213">
        <v>479050.5</v>
      </c>
      <c r="E213">
        <v>494061.25290272722</v>
      </c>
      <c r="F213">
        <f t="shared" si="3"/>
        <v>15010.752902727225</v>
      </c>
    </row>
    <row r="214" spans="1:6">
      <c r="A214" t="s">
        <v>26</v>
      </c>
      <c r="B214" t="s">
        <v>27</v>
      </c>
      <c r="C214" t="s">
        <v>28</v>
      </c>
      <c r="D214">
        <v>811771.14</v>
      </c>
      <c r="E214">
        <v>826883.74912886554</v>
      </c>
      <c r="F214">
        <f t="shared" si="3"/>
        <v>15112.60912886553</v>
      </c>
    </row>
    <row r="215" spans="1:6">
      <c r="A215" t="s">
        <v>62</v>
      </c>
      <c r="B215" t="s">
        <v>24</v>
      </c>
      <c r="C215" t="s">
        <v>18</v>
      </c>
      <c r="D215">
        <v>692008.64</v>
      </c>
      <c r="E215">
        <v>707299.70539476315</v>
      </c>
      <c r="F215">
        <f t="shared" si="3"/>
        <v>15291.065394763136</v>
      </c>
    </row>
    <row r="216" spans="1:6">
      <c r="A216" t="s">
        <v>51</v>
      </c>
      <c r="B216" t="s">
        <v>27</v>
      </c>
      <c r="C216" t="s">
        <v>16</v>
      </c>
      <c r="D216">
        <v>714942.43</v>
      </c>
      <c r="E216">
        <v>730838.16945696261</v>
      </c>
      <c r="F216">
        <f t="shared" si="3"/>
        <v>15895.739456962561</v>
      </c>
    </row>
    <row r="217" spans="1:6">
      <c r="A217" t="s">
        <v>19</v>
      </c>
      <c r="B217" t="s">
        <v>20</v>
      </c>
      <c r="C217" t="s">
        <v>21</v>
      </c>
      <c r="D217">
        <v>723060.76</v>
      </c>
      <c r="E217">
        <v>739357.22875572904</v>
      </c>
      <c r="F217">
        <f t="shared" si="3"/>
        <v>16296.468755729031</v>
      </c>
    </row>
    <row r="218" spans="1:6">
      <c r="A218" t="s">
        <v>60</v>
      </c>
      <c r="B218" t="s">
        <v>15</v>
      </c>
      <c r="C218" t="s">
        <v>18</v>
      </c>
      <c r="D218">
        <v>785028.25</v>
      </c>
      <c r="E218">
        <v>802595.68573661649</v>
      </c>
      <c r="F218">
        <f t="shared" si="3"/>
        <v>17567.435736616491</v>
      </c>
    </row>
    <row r="219" spans="1:6">
      <c r="A219" t="s">
        <v>93</v>
      </c>
      <c r="B219" t="s">
        <v>27</v>
      </c>
      <c r="C219" t="s">
        <v>16</v>
      </c>
      <c r="D219">
        <v>633009.53</v>
      </c>
      <c r="E219">
        <v>650692.56200704665</v>
      </c>
      <c r="F219">
        <f t="shared" si="3"/>
        <v>17683.032007046626</v>
      </c>
    </row>
    <row r="220" spans="1:6">
      <c r="A220" t="s">
        <v>53</v>
      </c>
      <c r="B220" t="s">
        <v>24</v>
      </c>
      <c r="C220" t="s">
        <v>18</v>
      </c>
      <c r="D220">
        <v>697155.3</v>
      </c>
      <c r="E220">
        <v>715998.69582514593</v>
      </c>
      <c r="F220">
        <f t="shared" si="3"/>
        <v>18843.395825145883</v>
      </c>
    </row>
    <row r="221" spans="1:6">
      <c r="A221" t="s">
        <v>61</v>
      </c>
      <c r="B221" t="s">
        <v>20</v>
      </c>
      <c r="C221" t="s">
        <v>28</v>
      </c>
      <c r="D221">
        <v>602002.31999999995</v>
      </c>
      <c r="E221">
        <v>620985.5165743581</v>
      </c>
      <c r="F221">
        <f t="shared" si="3"/>
        <v>18983.196574358153</v>
      </c>
    </row>
    <row r="222" spans="1:6">
      <c r="A222" t="s">
        <v>17</v>
      </c>
      <c r="B222" t="s">
        <v>15</v>
      </c>
      <c r="C222" t="s">
        <v>18</v>
      </c>
      <c r="D222">
        <v>761835.34</v>
      </c>
      <c r="E222">
        <v>781035.32601310499</v>
      </c>
      <c r="F222">
        <f t="shared" si="3"/>
        <v>19199.986013105023</v>
      </c>
    </row>
    <row r="223" spans="1:6">
      <c r="A223" t="s">
        <v>63</v>
      </c>
      <c r="B223" t="s">
        <v>20</v>
      </c>
      <c r="C223" t="s">
        <v>28</v>
      </c>
      <c r="D223">
        <v>706285.52</v>
      </c>
      <c r="E223">
        <v>725624.46087011078</v>
      </c>
      <c r="F223">
        <f t="shared" si="3"/>
        <v>19338.94087011076</v>
      </c>
    </row>
    <row r="224" spans="1:6">
      <c r="A224" t="s">
        <v>96</v>
      </c>
      <c r="B224" t="s">
        <v>27</v>
      </c>
      <c r="C224" t="s">
        <v>18</v>
      </c>
      <c r="D224">
        <v>599017.32999999996</v>
      </c>
      <c r="E224">
        <v>618876.04879972711</v>
      </c>
      <c r="F224">
        <f t="shared" si="3"/>
        <v>19858.718799727154</v>
      </c>
    </row>
    <row r="225" spans="1:6">
      <c r="A225" t="s">
        <v>68</v>
      </c>
      <c r="B225" t="s">
        <v>20</v>
      </c>
      <c r="C225" t="s">
        <v>18</v>
      </c>
      <c r="D225">
        <v>681855.56</v>
      </c>
      <c r="E225">
        <v>701890.50545582909</v>
      </c>
      <c r="F225">
        <f t="shared" si="3"/>
        <v>20034.945455829031</v>
      </c>
    </row>
    <row r="226" spans="1:6">
      <c r="A226" t="s">
        <v>65</v>
      </c>
      <c r="B226" t="s">
        <v>15</v>
      </c>
      <c r="C226" t="s">
        <v>16</v>
      </c>
      <c r="D226">
        <v>758138.29</v>
      </c>
      <c r="E226">
        <v>778591.84461382648</v>
      </c>
      <c r="F226">
        <f t="shared" si="3"/>
        <v>20453.554613826447</v>
      </c>
    </row>
    <row r="227" spans="1:6">
      <c r="A227" t="s">
        <v>83</v>
      </c>
      <c r="B227" t="s">
        <v>15</v>
      </c>
      <c r="C227" t="s">
        <v>18</v>
      </c>
      <c r="D227">
        <v>679230.86</v>
      </c>
      <c r="E227">
        <v>699750.81277279509</v>
      </c>
      <c r="F227">
        <f t="shared" si="3"/>
        <v>20519.952772795106</v>
      </c>
    </row>
    <row r="228" spans="1:6">
      <c r="A228" t="s">
        <v>25</v>
      </c>
      <c r="B228" t="s">
        <v>20</v>
      </c>
      <c r="C228" t="s">
        <v>16</v>
      </c>
      <c r="D228">
        <v>491905.13</v>
      </c>
      <c r="E228">
        <v>512620.23335846892</v>
      </c>
      <c r="F228">
        <f t="shared" si="3"/>
        <v>20715.103358468914</v>
      </c>
    </row>
    <row r="229" spans="1:6">
      <c r="A229" t="s">
        <v>38</v>
      </c>
      <c r="B229" t="s">
        <v>27</v>
      </c>
      <c r="C229" t="s">
        <v>18</v>
      </c>
      <c r="D229">
        <v>717141.55</v>
      </c>
      <c r="E229">
        <v>738367.52368847758</v>
      </c>
      <c r="F229">
        <f t="shared" si="3"/>
        <v>21225.973688477534</v>
      </c>
    </row>
    <row r="230" spans="1:6">
      <c r="A230" t="s">
        <v>93</v>
      </c>
      <c r="B230" t="s">
        <v>27</v>
      </c>
      <c r="C230" t="s">
        <v>16</v>
      </c>
      <c r="D230">
        <v>636775.66</v>
      </c>
      <c r="E230">
        <v>658130.09273907053</v>
      </c>
      <c r="F230">
        <f t="shared" si="3"/>
        <v>21354.4327390705</v>
      </c>
    </row>
    <row r="231" spans="1:6">
      <c r="A231" t="s">
        <v>38</v>
      </c>
      <c r="B231" t="s">
        <v>27</v>
      </c>
      <c r="C231" t="s">
        <v>18</v>
      </c>
      <c r="D231">
        <v>784502.68</v>
      </c>
      <c r="E231">
        <v>806042.09661653661</v>
      </c>
      <c r="F231">
        <f t="shared" si="3"/>
        <v>21539.41661653656</v>
      </c>
    </row>
    <row r="232" spans="1:6">
      <c r="A232" t="s">
        <v>75</v>
      </c>
      <c r="B232" t="s">
        <v>27</v>
      </c>
      <c r="C232" t="s">
        <v>16</v>
      </c>
      <c r="D232">
        <v>752321.72</v>
      </c>
      <c r="E232">
        <v>774045.87456923898</v>
      </c>
      <c r="F232">
        <f t="shared" si="3"/>
        <v>21724.154569239006</v>
      </c>
    </row>
    <row r="233" spans="1:6">
      <c r="A233" t="s">
        <v>55</v>
      </c>
      <c r="B233" t="s">
        <v>20</v>
      </c>
      <c r="C233" t="s">
        <v>18</v>
      </c>
      <c r="D233">
        <v>529075.94999999995</v>
      </c>
      <c r="E233">
        <v>550894.70481877169</v>
      </c>
      <c r="F233">
        <f t="shared" si="3"/>
        <v>21818.754818771733</v>
      </c>
    </row>
    <row r="234" spans="1:6">
      <c r="A234" t="s">
        <v>51</v>
      </c>
      <c r="B234" t="s">
        <v>27</v>
      </c>
      <c r="C234" t="s">
        <v>16</v>
      </c>
      <c r="D234">
        <v>735480.19</v>
      </c>
      <c r="E234">
        <v>757802.16167535644</v>
      </c>
      <c r="F234">
        <f t="shared" si="3"/>
        <v>22321.971675356501</v>
      </c>
    </row>
    <row r="235" spans="1:6">
      <c r="A235" t="s">
        <v>53</v>
      </c>
      <c r="B235" t="s">
        <v>24</v>
      </c>
      <c r="C235" t="s">
        <v>18</v>
      </c>
      <c r="D235">
        <v>842439.67</v>
      </c>
      <c r="E235">
        <v>865428.82332615193</v>
      </c>
      <c r="F235">
        <f t="shared" si="3"/>
        <v>22989.153326151893</v>
      </c>
    </row>
    <row r="236" spans="1:6">
      <c r="A236" t="s">
        <v>62</v>
      </c>
      <c r="B236" t="s">
        <v>24</v>
      </c>
      <c r="C236" t="s">
        <v>18</v>
      </c>
      <c r="D236">
        <v>677096.71</v>
      </c>
      <c r="E236">
        <v>700694.31354692078</v>
      </c>
      <c r="F236">
        <f t="shared" si="3"/>
        <v>23597.603546920815</v>
      </c>
    </row>
    <row r="237" spans="1:6">
      <c r="A237" t="s">
        <v>99</v>
      </c>
      <c r="B237" t="s">
        <v>24</v>
      </c>
      <c r="C237" t="s">
        <v>18</v>
      </c>
      <c r="D237">
        <v>621677.30000000005</v>
      </c>
      <c r="E237">
        <v>646624.69037406554</v>
      </c>
      <c r="F237">
        <f t="shared" si="3"/>
        <v>24947.390374065493</v>
      </c>
    </row>
    <row r="238" spans="1:6">
      <c r="A238" t="s">
        <v>99</v>
      </c>
      <c r="B238" t="s">
        <v>24</v>
      </c>
      <c r="C238" t="s">
        <v>18</v>
      </c>
      <c r="D238">
        <v>628538.30000000005</v>
      </c>
      <c r="E238">
        <v>653618.57416813564</v>
      </c>
      <c r="F238">
        <f t="shared" si="3"/>
        <v>25080.274168135598</v>
      </c>
    </row>
    <row r="239" spans="1:6">
      <c r="A239" t="s">
        <v>65</v>
      </c>
      <c r="B239" t="s">
        <v>15</v>
      </c>
      <c r="C239" t="s">
        <v>16</v>
      </c>
      <c r="D239">
        <v>721364.11</v>
      </c>
      <c r="E239">
        <v>746714.68244882848</v>
      </c>
      <c r="F239">
        <f t="shared" si="3"/>
        <v>25350.57244882849</v>
      </c>
    </row>
    <row r="240" spans="1:6">
      <c r="A240" t="s">
        <v>23</v>
      </c>
      <c r="B240" t="s">
        <v>24</v>
      </c>
      <c r="C240" t="s">
        <v>16</v>
      </c>
      <c r="D240">
        <v>591619.94999999995</v>
      </c>
      <c r="E240">
        <v>617101.6651475057</v>
      </c>
      <c r="F240">
        <f t="shared" si="3"/>
        <v>25481.715147505747</v>
      </c>
    </row>
    <row r="241" spans="1:6">
      <c r="A241" t="s">
        <v>45</v>
      </c>
      <c r="B241" t="s">
        <v>27</v>
      </c>
      <c r="C241" t="s">
        <v>16</v>
      </c>
      <c r="D241">
        <v>585937.48</v>
      </c>
      <c r="E241">
        <v>611795.49921027781</v>
      </c>
      <c r="F241">
        <f t="shared" si="3"/>
        <v>25858.019210277824</v>
      </c>
    </row>
    <row r="242" spans="1:6">
      <c r="A242" t="s">
        <v>42</v>
      </c>
      <c r="B242" t="s">
        <v>27</v>
      </c>
      <c r="C242" t="s">
        <v>28</v>
      </c>
      <c r="D242">
        <v>621369.57999999996</v>
      </c>
      <c r="E242">
        <v>647977.94822028978</v>
      </c>
      <c r="F242">
        <f t="shared" si="3"/>
        <v>26608.36822028982</v>
      </c>
    </row>
    <row r="243" spans="1:6">
      <c r="A243" t="s">
        <v>77</v>
      </c>
      <c r="B243" t="s">
        <v>15</v>
      </c>
      <c r="C243" t="s">
        <v>18</v>
      </c>
      <c r="D243">
        <v>723531.4</v>
      </c>
      <c r="E243">
        <v>750863.30331537232</v>
      </c>
      <c r="F243">
        <f t="shared" si="3"/>
        <v>27331.903315372299</v>
      </c>
    </row>
    <row r="244" spans="1:6">
      <c r="A244" t="s">
        <v>91</v>
      </c>
      <c r="B244" t="s">
        <v>24</v>
      </c>
      <c r="C244" t="s">
        <v>16</v>
      </c>
      <c r="D244">
        <v>761122.42</v>
      </c>
      <c r="E244">
        <v>788946.72260395659</v>
      </c>
      <c r="F244">
        <f t="shared" si="3"/>
        <v>27824.302603956545</v>
      </c>
    </row>
    <row r="245" spans="1:6">
      <c r="A245" t="s">
        <v>59</v>
      </c>
      <c r="B245" t="s">
        <v>24</v>
      </c>
      <c r="C245" t="s">
        <v>28</v>
      </c>
      <c r="D245">
        <v>614024.91</v>
      </c>
      <c r="E245">
        <v>642271.55295946577</v>
      </c>
      <c r="F245">
        <f t="shared" si="3"/>
        <v>28246.642959465738</v>
      </c>
    </row>
    <row r="246" spans="1:6">
      <c r="A246" t="s">
        <v>45</v>
      </c>
      <c r="B246" t="s">
        <v>27</v>
      </c>
      <c r="C246" t="s">
        <v>16</v>
      </c>
      <c r="D246">
        <v>607898.12</v>
      </c>
      <c r="E246">
        <v>636575.59550168843</v>
      </c>
      <c r="F246">
        <f t="shared" si="3"/>
        <v>28677.47550168843</v>
      </c>
    </row>
    <row r="247" spans="1:6">
      <c r="A247" t="s">
        <v>50</v>
      </c>
      <c r="B247" t="s">
        <v>27</v>
      </c>
      <c r="C247" t="s">
        <v>28</v>
      </c>
      <c r="D247">
        <v>718074.79</v>
      </c>
      <c r="E247">
        <v>746989.05663883302</v>
      </c>
      <c r="F247">
        <f t="shared" si="3"/>
        <v>28914.266638832982</v>
      </c>
    </row>
    <row r="248" spans="1:6">
      <c r="A248" t="s">
        <v>36</v>
      </c>
      <c r="B248" t="s">
        <v>15</v>
      </c>
      <c r="C248" t="s">
        <v>21</v>
      </c>
      <c r="D248">
        <v>617291.15</v>
      </c>
      <c r="E248">
        <v>646232.31888604048</v>
      </c>
      <c r="F248">
        <f t="shared" si="3"/>
        <v>28941.168886040454</v>
      </c>
    </row>
    <row r="249" spans="1:6">
      <c r="A249" t="s">
        <v>34</v>
      </c>
      <c r="B249" t="s">
        <v>20</v>
      </c>
      <c r="C249" t="s">
        <v>28</v>
      </c>
      <c r="D249">
        <v>622811.74</v>
      </c>
      <c r="E249">
        <v>651847.03577341279</v>
      </c>
      <c r="F249">
        <f t="shared" si="3"/>
        <v>29035.295773412799</v>
      </c>
    </row>
    <row r="250" spans="1:6">
      <c r="A250" t="s">
        <v>93</v>
      </c>
      <c r="B250" t="s">
        <v>27</v>
      </c>
      <c r="C250" t="s">
        <v>16</v>
      </c>
      <c r="D250">
        <v>548103.69999999995</v>
      </c>
      <c r="E250">
        <v>577141.41955337743</v>
      </c>
      <c r="F250">
        <f t="shared" si="3"/>
        <v>29037.719553377479</v>
      </c>
    </row>
    <row r="251" spans="1:6">
      <c r="A251" t="s">
        <v>23</v>
      </c>
      <c r="B251" t="s">
        <v>24</v>
      </c>
      <c r="C251" t="s">
        <v>16</v>
      </c>
      <c r="D251">
        <v>666152.52</v>
      </c>
      <c r="E251">
        <v>695407.10274165671</v>
      </c>
      <c r="F251">
        <f t="shared" si="3"/>
        <v>29254.58274165669</v>
      </c>
    </row>
    <row r="252" spans="1:6">
      <c r="A252" t="s">
        <v>36</v>
      </c>
      <c r="B252" t="s">
        <v>15</v>
      </c>
      <c r="C252" t="s">
        <v>21</v>
      </c>
      <c r="D252">
        <v>553756.43000000005</v>
      </c>
      <c r="E252">
        <v>583326.85185156704</v>
      </c>
      <c r="F252">
        <f t="shared" si="3"/>
        <v>29570.421851566993</v>
      </c>
    </row>
    <row r="253" spans="1:6">
      <c r="A253" t="s">
        <v>58</v>
      </c>
      <c r="B253" t="s">
        <v>20</v>
      </c>
      <c r="C253" t="s">
        <v>16</v>
      </c>
      <c r="D253">
        <v>537058.32999999996</v>
      </c>
      <c r="E253">
        <v>567039.53941115551</v>
      </c>
      <c r="F253">
        <f t="shared" si="3"/>
        <v>29981.209411155549</v>
      </c>
    </row>
    <row r="254" spans="1:6">
      <c r="A254" t="s">
        <v>85</v>
      </c>
      <c r="B254" t="s">
        <v>24</v>
      </c>
      <c r="C254" t="s">
        <v>21</v>
      </c>
      <c r="D254">
        <v>612390.14</v>
      </c>
      <c r="E254">
        <v>643343.71662702004</v>
      </c>
      <c r="F254">
        <f t="shared" si="3"/>
        <v>30953.576627020026</v>
      </c>
    </row>
    <row r="255" spans="1:6">
      <c r="A255" t="s">
        <v>52</v>
      </c>
      <c r="B255" t="s">
        <v>20</v>
      </c>
      <c r="C255" t="s">
        <v>18</v>
      </c>
      <c r="D255">
        <v>557487.26</v>
      </c>
      <c r="E255">
        <v>588528.16675262491</v>
      </c>
      <c r="F255">
        <f t="shared" si="3"/>
        <v>31040.906752624898</v>
      </c>
    </row>
    <row r="256" spans="1:6">
      <c r="A256" t="s">
        <v>47</v>
      </c>
      <c r="B256" t="s">
        <v>15</v>
      </c>
      <c r="C256" t="s">
        <v>28</v>
      </c>
      <c r="D256">
        <v>586626.93999999994</v>
      </c>
      <c r="E256">
        <v>618229.45966295782</v>
      </c>
      <c r="F256">
        <f t="shared" si="3"/>
        <v>31602.519662957871</v>
      </c>
    </row>
    <row r="257" spans="1:6">
      <c r="A257" t="s">
        <v>31</v>
      </c>
      <c r="B257" t="s">
        <v>20</v>
      </c>
      <c r="C257" t="s">
        <v>28</v>
      </c>
      <c r="D257">
        <v>718330.53</v>
      </c>
      <c r="E257">
        <v>750521.73441288422</v>
      </c>
      <c r="F257">
        <f t="shared" si="3"/>
        <v>32191.204412884195</v>
      </c>
    </row>
    <row r="258" spans="1:6">
      <c r="A258" t="s">
        <v>30</v>
      </c>
      <c r="B258" t="s">
        <v>20</v>
      </c>
      <c r="C258" t="s">
        <v>16</v>
      </c>
      <c r="D258">
        <v>800979.78</v>
      </c>
      <c r="E258">
        <v>833453.76872819767</v>
      </c>
      <c r="F258">
        <f t="shared" ref="F258:F321" si="4">E258-D258</f>
        <v>32473.988728197641</v>
      </c>
    </row>
    <row r="259" spans="1:6">
      <c r="A259" t="s">
        <v>79</v>
      </c>
      <c r="B259" t="s">
        <v>15</v>
      </c>
      <c r="C259" t="s">
        <v>18</v>
      </c>
      <c r="D259">
        <v>596969.27</v>
      </c>
      <c r="E259">
        <v>629921.65945960523</v>
      </c>
      <c r="F259">
        <f t="shared" si="4"/>
        <v>32952.389459605212</v>
      </c>
    </row>
    <row r="260" spans="1:6">
      <c r="A260" t="s">
        <v>41</v>
      </c>
      <c r="B260" t="s">
        <v>24</v>
      </c>
      <c r="C260" t="s">
        <v>18</v>
      </c>
      <c r="D260">
        <v>636561.34</v>
      </c>
      <c r="E260">
        <v>669715.7443428823</v>
      </c>
      <c r="F260">
        <f t="shared" si="4"/>
        <v>33154.404342882335</v>
      </c>
    </row>
    <row r="261" spans="1:6">
      <c r="A261" t="s">
        <v>94</v>
      </c>
      <c r="B261" t="s">
        <v>15</v>
      </c>
      <c r="C261" t="s">
        <v>16</v>
      </c>
      <c r="D261">
        <v>696261.49</v>
      </c>
      <c r="E261">
        <v>729713.08633268182</v>
      </c>
      <c r="F261">
        <f t="shared" si="4"/>
        <v>33451.596332681831</v>
      </c>
    </row>
    <row r="262" spans="1:6">
      <c r="A262" t="s">
        <v>23</v>
      </c>
      <c r="B262" t="s">
        <v>24</v>
      </c>
      <c r="C262" t="s">
        <v>16</v>
      </c>
      <c r="D262">
        <v>666573.19999999995</v>
      </c>
      <c r="E262">
        <v>700565.65968840115</v>
      </c>
      <c r="F262">
        <f t="shared" si="4"/>
        <v>33992.459688401199</v>
      </c>
    </row>
    <row r="263" spans="1:6">
      <c r="A263" t="s">
        <v>92</v>
      </c>
      <c r="B263" t="s">
        <v>24</v>
      </c>
      <c r="C263" t="s">
        <v>18</v>
      </c>
      <c r="D263">
        <v>555557.77</v>
      </c>
      <c r="E263">
        <v>590595.03149612376</v>
      </c>
      <c r="F263">
        <f t="shared" si="4"/>
        <v>35037.261496123741</v>
      </c>
    </row>
    <row r="264" spans="1:6">
      <c r="A264" t="s">
        <v>43</v>
      </c>
      <c r="B264" t="s">
        <v>27</v>
      </c>
      <c r="C264" t="s">
        <v>18</v>
      </c>
      <c r="D264">
        <v>611766.72</v>
      </c>
      <c r="E264">
        <v>648930.94010938751</v>
      </c>
      <c r="F264">
        <f t="shared" si="4"/>
        <v>37164.220109387534</v>
      </c>
    </row>
    <row r="265" spans="1:6">
      <c r="A265" t="s">
        <v>23</v>
      </c>
      <c r="B265" t="s">
        <v>24</v>
      </c>
      <c r="C265" t="s">
        <v>16</v>
      </c>
      <c r="D265">
        <v>573155.18999999994</v>
      </c>
      <c r="E265">
        <v>611463.78034842049</v>
      </c>
      <c r="F265">
        <f t="shared" si="4"/>
        <v>38308.590348420548</v>
      </c>
    </row>
    <row r="266" spans="1:6">
      <c r="A266" t="s">
        <v>58</v>
      </c>
      <c r="B266" t="s">
        <v>20</v>
      </c>
      <c r="C266" t="s">
        <v>16</v>
      </c>
      <c r="D266">
        <v>577732.56999999995</v>
      </c>
      <c r="E266">
        <v>616589.43465252314</v>
      </c>
      <c r="F266">
        <f t="shared" si="4"/>
        <v>38856.864652523189</v>
      </c>
    </row>
    <row r="267" spans="1:6">
      <c r="A267" t="s">
        <v>72</v>
      </c>
      <c r="B267" t="s">
        <v>15</v>
      </c>
      <c r="C267" t="s">
        <v>21</v>
      </c>
      <c r="D267">
        <v>607084.92000000004</v>
      </c>
      <c r="E267">
        <v>646025.12745908462</v>
      </c>
      <c r="F267">
        <f t="shared" si="4"/>
        <v>38940.207459084573</v>
      </c>
    </row>
    <row r="268" spans="1:6">
      <c r="A268" t="s">
        <v>101</v>
      </c>
      <c r="B268" t="s">
        <v>15</v>
      </c>
      <c r="C268" t="s">
        <v>16</v>
      </c>
      <c r="D268">
        <v>559660.84</v>
      </c>
      <c r="E268">
        <v>598977.08467800939</v>
      </c>
      <c r="F268">
        <f t="shared" si="4"/>
        <v>39316.244678009418</v>
      </c>
    </row>
    <row r="269" spans="1:6">
      <c r="A269" t="s">
        <v>14</v>
      </c>
      <c r="B269" t="s">
        <v>15</v>
      </c>
      <c r="C269" t="s">
        <v>16</v>
      </c>
      <c r="D269">
        <v>658832.62</v>
      </c>
      <c r="E269">
        <v>698419.49564639537</v>
      </c>
      <c r="F269">
        <f t="shared" si="4"/>
        <v>39586.875646395376</v>
      </c>
    </row>
    <row r="270" spans="1:6">
      <c r="A270" t="s">
        <v>60</v>
      </c>
      <c r="B270" t="s">
        <v>15</v>
      </c>
      <c r="C270" t="s">
        <v>18</v>
      </c>
      <c r="D270">
        <v>685830.24</v>
      </c>
      <c r="E270">
        <v>725595.45947429386</v>
      </c>
      <c r="F270">
        <f t="shared" si="4"/>
        <v>39765.219474293874</v>
      </c>
    </row>
    <row r="271" spans="1:6">
      <c r="A271" t="s">
        <v>64</v>
      </c>
      <c r="B271" t="s">
        <v>15</v>
      </c>
      <c r="C271" t="s">
        <v>16</v>
      </c>
      <c r="D271">
        <v>739831.73</v>
      </c>
      <c r="E271">
        <v>779610.23837161169</v>
      </c>
      <c r="F271">
        <f t="shared" si="4"/>
        <v>39778.508371611708</v>
      </c>
    </row>
    <row r="272" spans="1:6">
      <c r="A272" t="s">
        <v>50</v>
      </c>
      <c r="B272" t="s">
        <v>27</v>
      </c>
      <c r="C272" t="s">
        <v>28</v>
      </c>
      <c r="D272">
        <v>697287.9</v>
      </c>
      <c r="E272">
        <v>737980.20589693764</v>
      </c>
      <c r="F272">
        <f t="shared" si="4"/>
        <v>40692.305896937614</v>
      </c>
    </row>
    <row r="273" spans="1:6">
      <c r="A273" t="s">
        <v>71</v>
      </c>
      <c r="B273" t="s">
        <v>20</v>
      </c>
      <c r="C273" t="s">
        <v>16</v>
      </c>
      <c r="D273">
        <v>574066.61</v>
      </c>
      <c r="E273">
        <v>615194.34365463408</v>
      </c>
      <c r="F273">
        <f t="shared" si="4"/>
        <v>41127.733654634096</v>
      </c>
    </row>
    <row r="274" spans="1:6">
      <c r="A274" t="s">
        <v>71</v>
      </c>
      <c r="B274" t="s">
        <v>20</v>
      </c>
      <c r="C274" t="s">
        <v>16</v>
      </c>
      <c r="D274">
        <v>578949.84</v>
      </c>
      <c r="E274">
        <v>621134.57986367808</v>
      </c>
      <c r="F274">
        <f t="shared" si="4"/>
        <v>42184.739863678114</v>
      </c>
    </row>
    <row r="275" spans="1:6">
      <c r="A275" t="s">
        <v>35</v>
      </c>
      <c r="B275" t="s">
        <v>27</v>
      </c>
      <c r="C275" t="s">
        <v>18</v>
      </c>
      <c r="D275">
        <v>487464.91</v>
      </c>
      <c r="E275">
        <v>531733.84094022354</v>
      </c>
      <c r="F275">
        <f t="shared" si="4"/>
        <v>44268.930940223567</v>
      </c>
    </row>
    <row r="276" spans="1:6">
      <c r="A276" t="s">
        <v>95</v>
      </c>
      <c r="B276" t="s">
        <v>27</v>
      </c>
      <c r="C276" t="s">
        <v>18</v>
      </c>
      <c r="D276">
        <v>546223.69999999995</v>
      </c>
      <c r="E276">
        <v>590717.29179699637</v>
      </c>
      <c r="F276">
        <f t="shared" si="4"/>
        <v>44493.591796996421</v>
      </c>
    </row>
    <row r="277" spans="1:6">
      <c r="A277" t="s">
        <v>100</v>
      </c>
      <c r="B277" t="s">
        <v>20</v>
      </c>
      <c r="C277" t="s">
        <v>16</v>
      </c>
      <c r="D277">
        <v>688368.46</v>
      </c>
      <c r="E277">
        <v>733704.59363992419</v>
      </c>
      <c r="F277">
        <f t="shared" si="4"/>
        <v>45336.133639924228</v>
      </c>
    </row>
    <row r="278" spans="1:6">
      <c r="A278" t="s">
        <v>40</v>
      </c>
      <c r="B278" t="s">
        <v>15</v>
      </c>
      <c r="C278" t="s">
        <v>16</v>
      </c>
      <c r="D278">
        <v>680840.36</v>
      </c>
      <c r="E278">
        <v>727606.12655941083</v>
      </c>
      <c r="F278">
        <f t="shared" si="4"/>
        <v>46765.76655941084</v>
      </c>
    </row>
    <row r="279" spans="1:6">
      <c r="A279" t="s">
        <v>79</v>
      </c>
      <c r="B279" t="s">
        <v>15</v>
      </c>
      <c r="C279" t="s">
        <v>18</v>
      </c>
      <c r="D279">
        <v>570963.31000000006</v>
      </c>
      <c r="E279">
        <v>618156.29076591053</v>
      </c>
      <c r="F279">
        <f t="shared" si="4"/>
        <v>47192.98076591047</v>
      </c>
    </row>
    <row r="280" spans="1:6">
      <c r="A280" t="s">
        <v>69</v>
      </c>
      <c r="B280" t="s">
        <v>15</v>
      </c>
      <c r="C280" t="s">
        <v>18</v>
      </c>
      <c r="D280">
        <v>554012.06999999995</v>
      </c>
      <c r="E280">
        <v>601932.73950061365</v>
      </c>
      <c r="F280">
        <f t="shared" si="4"/>
        <v>47920.669500613702</v>
      </c>
    </row>
    <row r="281" spans="1:6">
      <c r="A281" t="s">
        <v>33</v>
      </c>
      <c r="B281" t="s">
        <v>27</v>
      </c>
      <c r="C281" t="s">
        <v>16</v>
      </c>
      <c r="D281">
        <v>599603.4</v>
      </c>
      <c r="E281">
        <v>649305.70501108887</v>
      </c>
      <c r="F281">
        <f t="shared" si="4"/>
        <v>49702.305011088843</v>
      </c>
    </row>
    <row r="282" spans="1:6">
      <c r="A282" t="s">
        <v>17</v>
      </c>
      <c r="B282" t="s">
        <v>15</v>
      </c>
      <c r="C282" t="s">
        <v>18</v>
      </c>
      <c r="D282">
        <v>741341.44</v>
      </c>
      <c r="E282">
        <v>791607.89551472268</v>
      </c>
      <c r="F282">
        <f t="shared" si="4"/>
        <v>50266.455514722737</v>
      </c>
    </row>
    <row r="283" spans="1:6">
      <c r="A283" t="s">
        <v>73</v>
      </c>
      <c r="B283" t="s">
        <v>15</v>
      </c>
      <c r="C283" t="s">
        <v>28</v>
      </c>
      <c r="D283">
        <v>671868.59</v>
      </c>
      <c r="E283">
        <v>723083.68767127965</v>
      </c>
      <c r="F283">
        <f t="shared" si="4"/>
        <v>51215.097671279684</v>
      </c>
    </row>
    <row r="284" spans="1:6">
      <c r="A284" t="s">
        <v>92</v>
      </c>
      <c r="B284" t="s">
        <v>24</v>
      </c>
      <c r="C284" t="s">
        <v>18</v>
      </c>
      <c r="D284">
        <v>524899.56999999995</v>
      </c>
      <c r="E284">
        <v>576356.6235717166</v>
      </c>
      <c r="F284">
        <f t="shared" si="4"/>
        <v>51457.053571716649</v>
      </c>
    </row>
    <row r="285" spans="1:6">
      <c r="A285" t="s">
        <v>70</v>
      </c>
      <c r="B285" t="s">
        <v>27</v>
      </c>
      <c r="C285" t="s">
        <v>16</v>
      </c>
      <c r="D285">
        <v>643428.85</v>
      </c>
      <c r="E285">
        <v>695302.2503834042</v>
      </c>
      <c r="F285">
        <f t="shared" si="4"/>
        <v>51873.400383404223</v>
      </c>
    </row>
    <row r="286" spans="1:6">
      <c r="A286" t="s">
        <v>52</v>
      </c>
      <c r="B286" t="s">
        <v>20</v>
      </c>
      <c r="C286" t="s">
        <v>18</v>
      </c>
      <c r="D286">
        <v>509484.81</v>
      </c>
      <c r="E286">
        <v>561465.22190352483</v>
      </c>
      <c r="F286">
        <f t="shared" si="4"/>
        <v>51980.41190352483</v>
      </c>
    </row>
    <row r="287" spans="1:6">
      <c r="A287" t="s">
        <v>99</v>
      </c>
      <c r="B287" t="s">
        <v>24</v>
      </c>
      <c r="C287" t="s">
        <v>18</v>
      </c>
      <c r="D287">
        <v>536524.84</v>
      </c>
      <c r="E287">
        <v>588528.84295588487</v>
      </c>
      <c r="F287">
        <f t="shared" si="4"/>
        <v>52004.002955884906</v>
      </c>
    </row>
    <row r="288" spans="1:6">
      <c r="A288" t="s">
        <v>55</v>
      </c>
      <c r="B288" t="s">
        <v>20</v>
      </c>
      <c r="C288" t="s">
        <v>18</v>
      </c>
      <c r="D288">
        <v>527300.13</v>
      </c>
      <c r="E288">
        <v>579799.12614411127</v>
      </c>
      <c r="F288">
        <f t="shared" si="4"/>
        <v>52498.996144111268</v>
      </c>
    </row>
    <row r="289" spans="1:6">
      <c r="A289" t="s">
        <v>55</v>
      </c>
      <c r="B289" t="s">
        <v>20</v>
      </c>
      <c r="C289" t="s">
        <v>18</v>
      </c>
      <c r="D289">
        <v>400831.65</v>
      </c>
      <c r="E289">
        <v>455155.5281922766</v>
      </c>
      <c r="F289">
        <f t="shared" si="4"/>
        <v>54323.878192276577</v>
      </c>
    </row>
    <row r="290" spans="1:6">
      <c r="A290" t="s">
        <v>22</v>
      </c>
      <c r="B290" t="s">
        <v>15</v>
      </c>
      <c r="C290" t="s">
        <v>16</v>
      </c>
      <c r="D290">
        <v>726606.28</v>
      </c>
      <c r="E290">
        <v>782128.47159700433</v>
      </c>
      <c r="F290">
        <f t="shared" si="4"/>
        <v>55522.191597004305</v>
      </c>
    </row>
    <row r="291" spans="1:6">
      <c r="A291" t="s">
        <v>101</v>
      </c>
      <c r="B291" t="s">
        <v>15</v>
      </c>
      <c r="C291" t="s">
        <v>16</v>
      </c>
      <c r="D291">
        <v>620264.19999999995</v>
      </c>
      <c r="E291">
        <v>676998.86733901442</v>
      </c>
      <c r="F291">
        <f t="shared" si="4"/>
        <v>56734.667339014472</v>
      </c>
    </row>
    <row r="292" spans="1:6">
      <c r="A292" t="s">
        <v>62</v>
      </c>
      <c r="B292" t="s">
        <v>24</v>
      </c>
      <c r="C292" t="s">
        <v>18</v>
      </c>
      <c r="D292">
        <v>650480.06000000006</v>
      </c>
      <c r="E292">
        <v>710318.7913848022</v>
      </c>
      <c r="F292">
        <f t="shared" si="4"/>
        <v>59838.731384802144</v>
      </c>
    </row>
    <row r="293" spans="1:6">
      <c r="A293" t="s">
        <v>89</v>
      </c>
      <c r="B293" t="s">
        <v>15</v>
      </c>
      <c r="C293" t="s">
        <v>28</v>
      </c>
      <c r="D293">
        <v>593343</v>
      </c>
      <c r="E293">
        <v>653416.57489396364</v>
      </c>
      <c r="F293">
        <f t="shared" si="4"/>
        <v>60073.57489396364</v>
      </c>
    </row>
    <row r="294" spans="1:6">
      <c r="A294" t="s">
        <v>14</v>
      </c>
      <c r="B294" t="s">
        <v>15</v>
      </c>
      <c r="C294" t="s">
        <v>16</v>
      </c>
      <c r="D294">
        <v>634436</v>
      </c>
      <c r="E294">
        <v>696600.54449136672</v>
      </c>
      <c r="F294">
        <f t="shared" si="4"/>
        <v>62164.544491366716</v>
      </c>
    </row>
    <row r="295" spans="1:6">
      <c r="A295" t="s">
        <v>54</v>
      </c>
      <c r="B295" t="s">
        <v>15</v>
      </c>
      <c r="C295" t="s">
        <v>18</v>
      </c>
      <c r="D295">
        <v>725235.28</v>
      </c>
      <c r="E295">
        <v>789253.50482065685</v>
      </c>
      <c r="F295">
        <f t="shared" si="4"/>
        <v>64018.224820656818</v>
      </c>
    </row>
    <row r="296" spans="1:6">
      <c r="A296" t="s">
        <v>30</v>
      </c>
      <c r="B296" t="s">
        <v>20</v>
      </c>
      <c r="C296" t="s">
        <v>16</v>
      </c>
      <c r="D296">
        <v>799477.76000000001</v>
      </c>
      <c r="E296">
        <v>863504.07003821817</v>
      </c>
      <c r="F296">
        <f t="shared" si="4"/>
        <v>64026.310038218158</v>
      </c>
    </row>
    <row r="297" spans="1:6">
      <c r="A297" t="s">
        <v>73</v>
      </c>
      <c r="B297" t="s">
        <v>15</v>
      </c>
      <c r="C297" t="s">
        <v>28</v>
      </c>
      <c r="D297">
        <v>675917.63</v>
      </c>
      <c r="E297">
        <v>741959.63256278017</v>
      </c>
      <c r="F297">
        <f t="shared" si="4"/>
        <v>66042.002562780166</v>
      </c>
    </row>
    <row r="298" spans="1:6">
      <c r="A298" t="s">
        <v>89</v>
      </c>
      <c r="B298" t="s">
        <v>15</v>
      </c>
      <c r="C298" t="s">
        <v>28</v>
      </c>
      <c r="D298">
        <v>660633.99</v>
      </c>
      <c r="E298">
        <v>726869.33210381796</v>
      </c>
      <c r="F298">
        <f t="shared" si="4"/>
        <v>66235.342103817966</v>
      </c>
    </row>
    <row r="299" spans="1:6">
      <c r="A299" t="s">
        <v>98</v>
      </c>
      <c r="B299" t="s">
        <v>24</v>
      </c>
      <c r="C299" t="s">
        <v>16</v>
      </c>
      <c r="D299">
        <v>651164.18000000005</v>
      </c>
      <c r="E299">
        <v>717743.36927332287</v>
      </c>
      <c r="F299">
        <f t="shared" si="4"/>
        <v>66579.189273322816</v>
      </c>
    </row>
    <row r="300" spans="1:6">
      <c r="A300" t="s">
        <v>52</v>
      </c>
      <c r="B300" t="s">
        <v>20</v>
      </c>
      <c r="C300" t="s">
        <v>18</v>
      </c>
      <c r="D300">
        <v>441275.42</v>
      </c>
      <c r="E300">
        <v>508165.91404908849</v>
      </c>
      <c r="F300">
        <f t="shared" si="4"/>
        <v>66890.494049088506</v>
      </c>
    </row>
    <row r="301" spans="1:6">
      <c r="A301" t="s">
        <v>40</v>
      </c>
      <c r="B301" t="s">
        <v>15</v>
      </c>
      <c r="C301" t="s">
        <v>16</v>
      </c>
      <c r="D301">
        <v>630829.93999999994</v>
      </c>
      <c r="E301">
        <v>699012.0739271479</v>
      </c>
      <c r="F301">
        <f t="shared" si="4"/>
        <v>68182.133927147952</v>
      </c>
    </row>
    <row r="302" spans="1:6">
      <c r="A302" t="s">
        <v>74</v>
      </c>
      <c r="B302" t="s">
        <v>15</v>
      </c>
      <c r="C302" t="s">
        <v>18</v>
      </c>
      <c r="D302">
        <v>691288.19</v>
      </c>
      <c r="E302">
        <v>759544.76325092721</v>
      </c>
      <c r="F302">
        <f t="shared" si="4"/>
        <v>68256.573250927264</v>
      </c>
    </row>
    <row r="303" spans="1:6">
      <c r="A303" t="s">
        <v>81</v>
      </c>
      <c r="B303" t="s">
        <v>27</v>
      </c>
      <c r="C303" t="s">
        <v>28</v>
      </c>
      <c r="D303">
        <v>721079.35</v>
      </c>
      <c r="E303">
        <v>789498.24758271046</v>
      </c>
      <c r="F303">
        <f t="shared" si="4"/>
        <v>68418.897582710488</v>
      </c>
    </row>
    <row r="304" spans="1:6">
      <c r="A304" t="s">
        <v>96</v>
      </c>
      <c r="B304" t="s">
        <v>27</v>
      </c>
      <c r="C304" t="s">
        <v>18</v>
      </c>
      <c r="D304">
        <v>401582.58</v>
      </c>
      <c r="E304">
        <v>470056.82889288053</v>
      </c>
      <c r="F304">
        <f t="shared" si="4"/>
        <v>68474.248892880511</v>
      </c>
    </row>
    <row r="305" spans="1:6">
      <c r="A305" t="s">
        <v>29</v>
      </c>
      <c r="B305" t="s">
        <v>15</v>
      </c>
      <c r="C305" t="s">
        <v>16</v>
      </c>
      <c r="D305">
        <v>427917.38</v>
      </c>
      <c r="E305">
        <v>497117.13921112759</v>
      </c>
      <c r="F305">
        <f t="shared" si="4"/>
        <v>69199.759211127588</v>
      </c>
    </row>
    <row r="306" spans="1:6">
      <c r="A306" t="s">
        <v>29</v>
      </c>
      <c r="B306" t="s">
        <v>15</v>
      </c>
      <c r="C306" t="s">
        <v>16</v>
      </c>
      <c r="D306">
        <v>511844.41</v>
      </c>
      <c r="E306">
        <v>584041.00132073311</v>
      </c>
      <c r="F306">
        <f t="shared" si="4"/>
        <v>72196.591320733132</v>
      </c>
    </row>
    <row r="307" spans="1:6">
      <c r="A307" t="s">
        <v>14</v>
      </c>
      <c r="B307" t="s">
        <v>15</v>
      </c>
      <c r="C307" t="s">
        <v>16</v>
      </c>
      <c r="D307">
        <v>678722.06</v>
      </c>
      <c r="E307">
        <v>752026.14959821803</v>
      </c>
      <c r="F307">
        <f t="shared" si="4"/>
        <v>73304.089598217979</v>
      </c>
    </row>
    <row r="308" spans="1:6">
      <c r="A308" t="s">
        <v>64</v>
      </c>
      <c r="B308" t="s">
        <v>15</v>
      </c>
      <c r="C308" t="s">
        <v>16</v>
      </c>
      <c r="D308">
        <v>593637.14</v>
      </c>
      <c r="E308">
        <v>675812.76135008456</v>
      </c>
      <c r="F308">
        <f t="shared" si="4"/>
        <v>82175.621350084548</v>
      </c>
    </row>
    <row r="309" spans="1:6">
      <c r="A309" t="s">
        <v>51</v>
      </c>
      <c r="B309" t="s">
        <v>27</v>
      </c>
      <c r="C309" t="s">
        <v>16</v>
      </c>
      <c r="D309">
        <v>684217.32</v>
      </c>
      <c r="E309">
        <v>768435.36249088671</v>
      </c>
      <c r="F309">
        <f t="shared" si="4"/>
        <v>84218.042490886757</v>
      </c>
    </row>
    <row r="310" spans="1:6">
      <c r="A310" t="s">
        <v>91</v>
      </c>
      <c r="B310" t="s">
        <v>24</v>
      </c>
      <c r="C310" t="s">
        <v>16</v>
      </c>
      <c r="D310">
        <v>673076.34</v>
      </c>
      <c r="E310">
        <v>758053.23593977536</v>
      </c>
      <c r="F310">
        <f t="shared" si="4"/>
        <v>84976.895939775393</v>
      </c>
    </row>
    <row r="311" spans="1:6">
      <c r="A311" t="s">
        <v>56</v>
      </c>
      <c r="B311" t="s">
        <v>24</v>
      </c>
      <c r="C311" t="s">
        <v>16</v>
      </c>
      <c r="D311">
        <v>633638.03</v>
      </c>
      <c r="E311">
        <v>725431.78104458808</v>
      </c>
      <c r="F311">
        <f t="shared" si="4"/>
        <v>91793.751044588047</v>
      </c>
    </row>
    <row r="312" spans="1:6">
      <c r="A312" t="s">
        <v>70</v>
      </c>
      <c r="B312" t="s">
        <v>27</v>
      </c>
      <c r="C312" t="s">
        <v>16</v>
      </c>
      <c r="D312">
        <v>449465.06</v>
      </c>
      <c r="E312">
        <v>544385.12716974271</v>
      </c>
      <c r="F312">
        <f t="shared" si="4"/>
        <v>94920.067169742717</v>
      </c>
    </row>
    <row r="313" spans="1:6">
      <c r="A313" t="s">
        <v>35</v>
      </c>
      <c r="B313" t="s">
        <v>27</v>
      </c>
      <c r="C313" t="s">
        <v>18</v>
      </c>
      <c r="D313">
        <v>463534.25</v>
      </c>
      <c r="E313">
        <v>559538.15672526299</v>
      </c>
      <c r="F313">
        <f t="shared" si="4"/>
        <v>96003.90672526299</v>
      </c>
    </row>
    <row r="314" spans="1:6">
      <c r="A314" t="s">
        <v>14</v>
      </c>
      <c r="B314" t="s">
        <v>15</v>
      </c>
      <c r="C314" t="s">
        <v>16</v>
      </c>
      <c r="D314">
        <v>658920.30000000005</v>
      </c>
      <c r="E314">
        <v>758177.62093651283</v>
      </c>
      <c r="F314">
        <f t="shared" si="4"/>
        <v>99257.320936512784</v>
      </c>
    </row>
    <row r="315" spans="1:6">
      <c r="A315" t="s">
        <v>26</v>
      </c>
      <c r="B315" t="s">
        <v>27</v>
      </c>
      <c r="C315" t="s">
        <v>28</v>
      </c>
      <c r="D315">
        <v>800451.94</v>
      </c>
      <c r="E315">
        <v>900517.54676750558</v>
      </c>
      <c r="F315">
        <f t="shared" si="4"/>
        <v>100065.60676750564</v>
      </c>
    </row>
    <row r="316" spans="1:6">
      <c r="A316" t="s">
        <v>25</v>
      </c>
      <c r="B316" t="s">
        <v>20</v>
      </c>
      <c r="C316" t="s">
        <v>16</v>
      </c>
      <c r="D316">
        <v>415721.82</v>
      </c>
      <c r="E316">
        <v>521959.96901706123</v>
      </c>
      <c r="F316">
        <f t="shared" si="4"/>
        <v>106238.14901706122</v>
      </c>
    </row>
    <row r="317" spans="1:6">
      <c r="A317" t="s">
        <v>98</v>
      </c>
      <c r="B317" t="s">
        <v>24</v>
      </c>
      <c r="C317" t="s">
        <v>16</v>
      </c>
      <c r="D317">
        <v>538376</v>
      </c>
      <c r="E317">
        <v>648422.32201262598</v>
      </c>
      <c r="F317">
        <f t="shared" si="4"/>
        <v>110046.32201262598</v>
      </c>
    </row>
    <row r="318" spans="1:6">
      <c r="A318" t="s">
        <v>30</v>
      </c>
      <c r="B318" t="s">
        <v>20</v>
      </c>
      <c r="C318" t="s">
        <v>16</v>
      </c>
      <c r="D318">
        <v>641865.03</v>
      </c>
      <c r="E318">
        <v>762488.82761074405</v>
      </c>
      <c r="F318">
        <f t="shared" si="4"/>
        <v>120623.79761074402</v>
      </c>
    </row>
    <row r="319" spans="1:6">
      <c r="A319" t="s">
        <v>44</v>
      </c>
      <c r="B319" t="s">
        <v>24</v>
      </c>
      <c r="C319" t="s">
        <v>28</v>
      </c>
      <c r="D319">
        <v>627171.9</v>
      </c>
      <c r="E319">
        <v>757388.57574531902</v>
      </c>
      <c r="F319">
        <f t="shared" si="4"/>
        <v>130216.67574531899</v>
      </c>
    </row>
    <row r="320" spans="1:6">
      <c r="A320" t="s">
        <v>33</v>
      </c>
      <c r="B320" t="s">
        <v>27</v>
      </c>
      <c r="C320" t="s">
        <v>16</v>
      </c>
      <c r="D320">
        <v>595467.6</v>
      </c>
      <c r="E320">
        <v>729696.75809275196</v>
      </c>
      <c r="F320">
        <f t="shared" si="4"/>
        <v>134229.15809275198</v>
      </c>
    </row>
    <row r="321" spans="1:6">
      <c r="A321" t="s">
        <v>38</v>
      </c>
      <c r="B321" t="s">
        <v>27</v>
      </c>
      <c r="C321" t="s">
        <v>18</v>
      </c>
      <c r="D321">
        <v>685379.08</v>
      </c>
      <c r="E321">
        <v>841678.33561227401</v>
      </c>
      <c r="F321">
        <f t="shared" si="4"/>
        <v>156299.25561227405</v>
      </c>
    </row>
  </sheetData>
  <autoFilter ref="A1:F321" xr:uid="{AD9F13BE-CDBD-4EA6-AC19-1A26A33113B5}">
    <sortState xmlns:xlrd2="http://schemas.microsoft.com/office/spreadsheetml/2017/richdata2" ref="A2:F321">
      <sortCondition ref="F1:F321"/>
    </sortState>
  </autoFilter>
  <sortState xmlns:xlrd2="http://schemas.microsoft.com/office/spreadsheetml/2017/richdata2" ref="A2:F321">
    <sortCondition descending="1" ref="F1:F32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4FE2-D237-4817-86C6-79FE87F44DD9}">
  <dimension ref="A1:F4"/>
  <sheetViews>
    <sheetView tabSelected="1" workbookViewId="0">
      <selection activeCell="F5" sqref="F5"/>
    </sheetView>
  </sheetViews>
  <sheetFormatPr defaultRowHeight="13.8"/>
  <cols>
    <col min="1" max="1" width="27.5" customWidth="1"/>
    <col min="2" max="2" width="28.296875" customWidth="1"/>
    <col min="4" max="4" width="23.69921875" customWidth="1"/>
    <col min="5" max="5" width="22.5" customWidth="1"/>
    <col min="6" max="6" width="44.5" customWidth="1"/>
  </cols>
  <sheetData>
    <row r="1" spans="1:6" ht="45.6" thickBot="1">
      <c r="A1" s="8" t="s">
        <v>155</v>
      </c>
      <c r="B1" s="8" t="s">
        <v>156</v>
      </c>
      <c r="C1" s="8" t="s">
        <v>157</v>
      </c>
      <c r="D1" s="8" t="s">
        <v>158</v>
      </c>
      <c r="E1" s="8" t="s">
        <v>159</v>
      </c>
      <c r="F1" s="8" t="s">
        <v>160</v>
      </c>
    </row>
    <row r="2" spans="1:6" ht="86.4" customHeight="1" thickBot="1">
      <c r="A2" s="9" t="s">
        <v>161</v>
      </c>
      <c r="B2" s="9" t="s">
        <v>162</v>
      </c>
      <c r="C2" s="9">
        <v>0.16700000000000001</v>
      </c>
      <c r="D2" s="9" t="s">
        <v>163</v>
      </c>
      <c r="E2" s="9" t="s">
        <v>164</v>
      </c>
      <c r="F2" s="9" t="s">
        <v>165</v>
      </c>
    </row>
    <row r="3" spans="1:6" ht="91.2" customHeight="1" thickBot="1">
      <c r="A3" s="10" t="s">
        <v>166</v>
      </c>
      <c r="B3" s="10" t="s">
        <v>167</v>
      </c>
      <c r="C3" s="10">
        <v>0.73599999999999999</v>
      </c>
      <c r="D3" s="10" t="s">
        <v>168</v>
      </c>
      <c r="E3" s="10" t="s">
        <v>169</v>
      </c>
      <c r="F3" s="10" t="s">
        <v>170</v>
      </c>
    </row>
    <row r="4" spans="1:6" ht="100.8" customHeight="1" thickBot="1">
      <c r="A4" s="9" t="s">
        <v>171</v>
      </c>
      <c r="B4" s="9" t="s">
        <v>172</v>
      </c>
      <c r="C4" s="9">
        <v>0.81399999999999995</v>
      </c>
      <c r="D4" s="9" t="s">
        <v>173</v>
      </c>
      <c r="E4" s="9" t="s">
        <v>174</v>
      </c>
      <c r="F4" s="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 data</vt:lpstr>
      <vt:lpstr>Cleaned Data</vt:lpstr>
      <vt:lpstr>data_dictionary</vt:lpstr>
      <vt:lpstr>Simple_Regression_1</vt:lpstr>
      <vt:lpstr>Simple_Regression_2</vt:lpstr>
      <vt:lpstr>Multiple_Regression</vt:lpstr>
      <vt:lpstr>Dummy variable</vt:lpstr>
      <vt:lpstr>Predictions_Residuals</vt:lpstr>
      <vt:lpstr>Model Comparison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 shah</cp:lastModifiedBy>
  <dcterms:modified xsi:type="dcterms:W3CDTF">2026-06-28T10:37:42Z</dcterms:modified>
</cp:coreProperties>
</file>